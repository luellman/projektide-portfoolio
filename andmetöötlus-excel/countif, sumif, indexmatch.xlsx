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98c36b14c3f46f3/Desktop/Exceli harjutused/"/>
    </mc:Choice>
  </mc:AlternateContent>
  <xr:revisionPtr revIDLastSave="747" documentId="8_{B771C489-E16C-4DE5-9914-4B880C5C5E17}" xr6:coauthVersionLast="47" xr6:coauthVersionMax="47" xr10:uidLastSave="{5B5D5963-2FAD-422C-A7A6-20FE793ADB2C}"/>
  <bookViews>
    <workbookView xWindow="-108" yWindow="-108" windowWidth="23256" windowHeight="12456" activeTab="3" xr2:uid="{BA62E830-7AD8-4B24-A5E0-414E73B039E2}"/>
  </bookViews>
  <sheets>
    <sheet name="Riigikogu" sheetId="1" r:id="rId1"/>
    <sheet name="Riigid" sheetId="2" r:id="rId2"/>
    <sheet name="Personal" sheetId="4" r:id="rId3"/>
    <sheet name="Juurdekasv" sheetId="5" r:id="rId4"/>
    <sheet name="Eurostat" sheetId="3" r:id="rId5"/>
  </sheets>
  <definedNames>
    <definedName name="_xlnm._FilterDatabase" localSheetId="2" hidden="1">Personal!$B$17:$L$116</definedName>
    <definedName name="_xlnm._FilterDatabase" localSheetId="0" hidden="1">Riigikogu!$B$17:$G$118</definedName>
    <definedName name="aastad">Eurostat!$A$4:$W$4</definedName>
    <definedName name="Albania">Eurostat!$B$39:$W$39</definedName>
    <definedName name="Amet">Personal!$E$18:$E$116</definedName>
    <definedName name="Andorra">Eurostat!$B$42:$W$42</definedName>
    <definedName name="Armenia">Eurostat!$B$51:$W$51</definedName>
    <definedName name="Azerbaijan">Eurostat!$B$52:$W$52</definedName>
    <definedName name="Austria">Eurostat!$B$24:$W$24</definedName>
    <definedName name="Belarus">Eurostat!$B$43:$W$43</definedName>
    <definedName name="Belgium">Eurostat!$B$5:$W$5</definedName>
    <definedName name="Bosnia_and_Herzegovina">Eurostat!$B$44:$W$44</definedName>
    <definedName name="Bulgaria">Eurostat!$B$6:$W$6</definedName>
    <definedName name="Croatia">Eurostat!$B$15:$W$15</definedName>
    <definedName name="Czechia">Eurostat!$B$7:$W$7</definedName>
    <definedName name="Cyprus">Eurostat!$B$17:$W$17</definedName>
    <definedName name="Denmark">Eurostat!$B$8:$W$8</definedName>
    <definedName name="E_post">Riigikogu!$G$18:$G$118</definedName>
    <definedName name="eesnime_esitäht___perekonnanime_esitäht">Riigikogu!$J$18:$J$118</definedName>
    <definedName name="eesnimi_esitäht_ja_perenimi">Riigikogu!$I$18:$I$118</definedName>
    <definedName name="EKRE">Riigikogu!$G$14</definedName>
    <definedName name="ekre_kandidaatide_mitteunikaalsed_initsiaalid">Riigikogu!$J$8:$J$118</definedName>
    <definedName name="EL_riigid">Riigid!$B$17:$B$43</definedName>
    <definedName name="erinevus_keskmisest">Personal!$M$18:$M$116</definedName>
    <definedName name="Estonia">Eurostat!$B$10:$W$10</definedName>
    <definedName name="_xlnm.Extract" localSheetId="0">Riigikogu!$J$17</definedName>
    <definedName name="Finland">Eurostat!$B$30:$W$30</definedName>
    <definedName name="Fraktsioon">Riigikogu!$E$18:$E$118</definedName>
    <definedName name="France">Eurostat!$B$14:$W$14</definedName>
    <definedName name="GEO_TIME">Eurostat!$B$5:$W$53</definedName>
    <definedName name="Georgia">Eurostat!$B$53:$W$53</definedName>
    <definedName name="Germany">Eurostat!$B$9:$W$9</definedName>
    <definedName name="Greece">Eurostat!$B$12:$W$12</definedName>
    <definedName name="Hungary">Eurostat!$B$21:$W$21</definedName>
    <definedName name="Iceland">Eurostat!$B$32:$W$32</definedName>
    <definedName name="Ireland">Eurostat!$B$11:$W$11</definedName>
    <definedName name="Isikukood">Personal!$C$18:$C$116</definedName>
    <definedName name="Italy">Eurostat!$B$16:$W$16</definedName>
    <definedName name="Kas_eelmises">Riigikogu!$D$18:$D$118</definedName>
    <definedName name="keskmine_palk">Personal!$K$8:$K$14</definedName>
    <definedName name="Komisjon">Riigikogu!$F$18:$F$118</definedName>
    <definedName name="Kosovo__under_United_Nations_Security_Council_Resolution_1244_99">Eurostat!$B$45:$W$45</definedName>
    <definedName name="Kvartiilid">Personal!$M$9:$M$12</definedName>
    <definedName name="kõik_riigid">Eurostat!$A$4:$A$53</definedName>
    <definedName name="Latvia">Eurostat!$B$18:$W$18</definedName>
    <definedName name="Liechtenstein">Eurostat!$B$33:$W$33</definedName>
    <definedName name="Lithuania">Eurostat!$B$19:$W$19</definedName>
    <definedName name="Luxembourg">Eurostat!$B$20:$W$20</definedName>
    <definedName name="Malta">Eurostat!$B$22:$W$22</definedName>
    <definedName name="Meessugu">Riigikogu!$I$14</definedName>
    <definedName name="millised_initsiaalid_unikaalsed">Riigikogu!$L$18:$L$118</definedName>
    <definedName name="mitteunikaalsete_initsiaalidega_ekre_liikmete_arv">Riigikogu!$M$18:$M$118</definedName>
    <definedName name="mitu_korda_esineb">Riigikogu!$K$18:$K$118</definedName>
    <definedName name="mitu_reformierakonna_fraktsiooni_kuuluvat_meest_on_õiguskomisjonis">Riigikogu!$N$18:$N$118</definedName>
    <definedName name="Moldova">Eurostat!$B$46:$W$46</definedName>
    <definedName name="Monaco">Eurostat!$B$47:$W$47</definedName>
    <definedName name="Montenegro">Eurostat!$B$37:$W$37</definedName>
    <definedName name="Netherlands">Eurostat!$B$23:$W$23</definedName>
    <definedName name="Nimi" localSheetId="2">Personal!$B$18:$B$116</definedName>
    <definedName name="Nimi">Riigikogu!$B$18:$B$118</definedName>
    <definedName name="North_Macedonia">Eurostat!$B$38:$W$38</definedName>
    <definedName name="Norway">Eurostat!$B$34:$W$34</definedName>
    <definedName name="Nädalapäeva_nimetus">Personal!$L$18:$L$116</definedName>
    <definedName name="Nädalapäeva_nr">Personal!$K$18:$K$116</definedName>
    <definedName name="Osakond">Personal!$D$18:$D$116</definedName>
    <definedName name="osakonnad">Personal!$J$8:$J$14</definedName>
    <definedName name="Palk">Personal!$F$18:$F$116</definedName>
    <definedName name="Poland">Eurostat!$B$25:$W$25</definedName>
    <definedName name="Portugal">Eurostat!$B$26:$W$26</definedName>
    <definedName name="positiivse_rahvaarvumuuduga_riikide_arv">Riigid!$G$17:$G$43</definedName>
    <definedName name="rahvaarv_2011">Riigid!$C$16</definedName>
    <definedName name="rahvaarv_2019">Riigid!$D$16</definedName>
    <definedName name="rahvaarvu_muutus_arvudes">Riigid!$F$17:$F$43</definedName>
    <definedName name="rahvaarvu_muutus_prots_2011_2019">Riigid!$E$17:$E$43</definedName>
    <definedName name="Rahvaarvud">Eurostat!$A$4:$W$53</definedName>
    <definedName name="rahvaarvud_2011">Riigid!$C$16:$C$43</definedName>
    <definedName name="rahvaarvud_2019">Riigid!$D$16:$D$43</definedName>
    <definedName name="REFORMIERAKOND">Riigikogu!$H$14</definedName>
    <definedName name="riikide_rahvaarv_2011">Riigid!$C$17:$C$43</definedName>
    <definedName name="riikide_rahvaarv_2019">Riigid!$D$17:$D$43</definedName>
    <definedName name="Romania">Eurostat!$B$27:$W$27</definedName>
    <definedName name="Russia">Eurostat!$B$48:$W$48</definedName>
    <definedName name="San_Marino">Eurostat!$B$49:$W$49</definedName>
    <definedName name="Serbia">Eurostat!$B$40:$W$40</definedName>
    <definedName name="Slovakia">Eurostat!$B$29:$W$29</definedName>
    <definedName name="Slovenia">Eurostat!$B$28:$W$28</definedName>
    <definedName name="Spain">Eurostat!$B$13:$W$13</definedName>
    <definedName name="Sugu" localSheetId="2">Personal!$G$18:$G$116</definedName>
    <definedName name="Sugu">Riigikogu!$C$18:$C$118</definedName>
    <definedName name="suhteline_aheljuurdekasv_albaania">Juurdekasv!$D$20:$D$41</definedName>
    <definedName name="suhteline_aheljuurdekasv_iirimaa">Juurdekasv!$E$20:$E$41</definedName>
    <definedName name="Sweden">Eurostat!$B$31:$W$31</definedName>
    <definedName name="Switzerland">Eurostat!$B$35:$W$35</definedName>
    <definedName name="Sünniaeg">Personal!$H$18:$H$116</definedName>
    <definedName name="Sünnipäev">Personal!$J$18:$J$116</definedName>
    <definedName name="tingimus" localSheetId="1">Riigid!$G$7</definedName>
    <definedName name="tingimus">Riigikogu!$F$14</definedName>
    <definedName name="Transport">Personal!$J$9:$J$14</definedName>
    <definedName name="Turkey">Eurostat!$B$41:$W$41</definedName>
    <definedName name="Ukraine">Eurostat!$B$50:$W$50</definedName>
    <definedName name="United_Kingdom">Eurostat!$B$36:$W$36</definedName>
    <definedName name="Vanus">Personal!$I$18:$I$116</definedName>
    <definedName name="õiguskomisjon">Riigikogu!$J$14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O9" i="4" l="1"/>
  <c r="N9" i="4" l="1" a="1"/>
  <c r="N9" i="4" s="1"/>
  <c r="K8" i="4" a="1"/>
  <c r="K8" i="4" s="1"/>
  <c r="M18" i="4" s="1" a="1"/>
  <c r="M18" i="4" s="1"/>
  <c r="H18" i="4" a="1"/>
  <c r="H18" i="4" s="1"/>
  <c r="I18" i="4" s="1" a="1"/>
  <c r="I18" i="4" s="1"/>
  <c r="G18" i="4" a="1"/>
  <c r="G18" i="4" s="1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17" i="2"/>
  <c r="J18" i="4" l="1" a="1"/>
  <c r="J18" i="4" s="1"/>
  <c r="K18" i="4" s="1" a="1"/>
  <c r="K18" i="4" s="1"/>
  <c r="E17" i="2" a="1"/>
  <c r="E17" i="2" s="1"/>
  <c r="F17" i="2" a="1"/>
  <c r="F17" i="2" s="1"/>
  <c r="L18" i="4" l="1" a="1"/>
  <c r="L18" i="4" s="1"/>
  <c r="N18" i="1"/>
  <c r="J18" i="1" l="1" a="1"/>
  <c r="J18" i="1" s="1"/>
  <c r="K18" i="1" s="1" a="1"/>
  <c r="K18" i="1" s="1"/>
  <c r="I18" i="1" a="1"/>
  <c r="I18" i="1" s="1"/>
  <c r="C20" i="5" a="1"/>
  <c r="C20" i="5" s="1"/>
  <c r="B20" i="5" a="1"/>
  <c r="B20" i="5" s="1"/>
  <c r="A20" i="5" a="1"/>
  <c r="A20" i="5" s="1"/>
  <c r="E16" i="5"/>
  <c r="E15" i="5"/>
  <c r="O12" i="4"/>
  <c r="O11" i="4"/>
  <c r="O10" i="4"/>
  <c r="L18" i="1" l="1" a="1"/>
  <c r="L18" i="1" s="1"/>
  <c r="M18" i="1"/>
  <c r="E41" i="5"/>
  <c r="D4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5" i="2" l="1"/>
  <c r="C45" i="2" l="1"/>
  <c r="I19" i="2" l="1"/>
  <c r="J19" i="2" s="1"/>
  <c r="I17" i="2"/>
  <c r="J17" i="2" s="1"/>
  <c r="I18" i="2"/>
  <c r="J18" i="2" s="1"/>
  <c r="F45" i="2"/>
  <c r="K17" i="2"/>
  <c r="K19" i="2"/>
  <c r="K18" i="2"/>
  <c r="G17" i="2"/>
  <c r="E45" i="2"/>
  <c r="D21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<sst xmlns="http://schemas.openxmlformats.org/spreadsheetml/2006/main" count="1113" uniqueCount="567">
  <si>
    <t>&gt;1</t>
  </si>
  <si>
    <t>Nimi</t>
  </si>
  <si>
    <t>Sugu</t>
  </si>
  <si>
    <t>Kas eelmises</t>
  </si>
  <si>
    <t>Fraktsioon</t>
  </si>
  <si>
    <t>Komisjon</t>
  </si>
  <si>
    <t>E-post</t>
  </si>
  <si>
    <t>eesnimi esitäht ja perenimi</t>
  </si>
  <si>
    <t>eesnime esitäht + perekonnanime esitäht</t>
  </si>
  <si>
    <t xml:space="preserve">mitu korda esineb </t>
  </si>
  <si>
    <t>millised initsiaalid unikaalsed</t>
  </si>
  <si>
    <t>mitu reformierakonna fraktsiooni kuuluvat meest on õiguskomisjonis</t>
  </si>
  <si>
    <t>Jaak Aab</t>
  </si>
  <si>
    <t>M</t>
  </si>
  <si>
    <t>Fraktsiooni mittekuuluvad Riigikogu liikmed</t>
  </si>
  <si>
    <t>Majanduskomisjon</t>
  </si>
  <si>
    <t>E-postjaak.aab@riigikogu.ee</t>
  </si>
  <si>
    <t>Annely Akkermann</t>
  </si>
  <si>
    <t>N</t>
  </si>
  <si>
    <t>Eesti Reformierakonna fraktsioon</t>
  </si>
  <si>
    <t>Rahanduskomisjon</t>
  </si>
  <si>
    <t>E-postannely.akkermann@riigikogu.ee</t>
  </si>
  <si>
    <t>Anti Allas</t>
  </si>
  <si>
    <t>Sotsiaaldemokraatliku Erakonna fraktsioon</t>
  </si>
  <si>
    <t>Maaelukomisjon</t>
  </si>
  <si>
    <t>E-postanti.allas@riigikogu.ee</t>
  </si>
  <si>
    <t>Arvo Aller</t>
  </si>
  <si>
    <t>Eesti Konservatiivse Rahvaerakonna fraktsioon</t>
  </si>
  <si>
    <t>E-postarvo.aller@riigikogu.ee</t>
  </si>
  <si>
    <t>Vladimir Arhipov</t>
  </si>
  <si>
    <t>Eesti Keskerakonna fraktsioon</t>
  </si>
  <si>
    <t>Riigikaitsekomisjon</t>
  </si>
  <si>
    <t>E-postvladimir.arhipov@riigikogu.ee</t>
  </si>
  <si>
    <t>Vadim Belobrovtsev</t>
  </si>
  <si>
    <t>Kultuurikomisjon</t>
  </si>
  <si>
    <t>E-postvadim.belobrovtsev@riigikogu.ee</t>
  </si>
  <si>
    <t>Enn Eesmaa</t>
  </si>
  <si>
    <t>E-postenn.eesmaa@riigikogu.ee</t>
  </si>
  <si>
    <t>Rain Epler</t>
  </si>
  <si>
    <t>Keskkonnakomisjon</t>
  </si>
  <si>
    <t>E-postrain.epler@riigikogu.ee</t>
  </si>
  <si>
    <t>Hele Everaus</t>
  </si>
  <si>
    <t>Sotsiaalkomisjon</t>
  </si>
  <si>
    <t>E-posthele.everaus@riigikogu.ee</t>
  </si>
  <si>
    <t>Ants Frosch</t>
  </si>
  <si>
    <t>Põhiseaduskomisjon</t>
  </si>
  <si>
    <t>E-postants.frosch@riigikogu.ee</t>
  </si>
  <si>
    <t>Kalle Grünthal</t>
  </si>
  <si>
    <t>E-postkalle.grynthal@riigikogu.ee</t>
  </si>
  <si>
    <t>Andre Hanimägi</t>
  </si>
  <si>
    <t>Õiguskomisjon</t>
  </si>
  <si>
    <t>E-postandre.hanimagi@riigikogu.ee</t>
  </si>
  <si>
    <t>Anti Haugas</t>
  </si>
  <si>
    <t>E-postanti.haugas@riigikogu.ee</t>
  </si>
  <si>
    <t>Helle-Moonika Helme</t>
  </si>
  <si>
    <t>E-posthelle-moonika.helme@riigikogu.ee</t>
  </si>
  <si>
    <t>Mart Helme</t>
  </si>
  <si>
    <t>Väliskomisjon</t>
  </si>
  <si>
    <t>E-postmart.helme@riigikogu.ee</t>
  </si>
  <si>
    <t>Martin Helme</t>
  </si>
  <si>
    <t>E-postmartin.helme@riigikogu.ee</t>
  </si>
  <si>
    <t>Lauri Hussar</t>
  </si>
  <si>
    <t>Eesti 200 fraktsioon</t>
  </si>
  <si>
    <t>E-postlauri.hussar@riigikogu.ee</t>
  </si>
  <si>
    <t>Züleyxa Izmailova</t>
  </si>
  <si>
    <t>E-postzuleyxa.izmailova@riigikogu.ee</t>
  </si>
  <si>
    <t>Jüri Jaanson</t>
  </si>
  <si>
    <t>E-postjyri.jaanson@riigikogu.ee</t>
  </si>
  <si>
    <t>Aleksei Jevgrafov</t>
  </si>
  <si>
    <t>E-postaleksei.jevgrafov@riigikogu.ee</t>
  </si>
  <si>
    <t>Karmen Joller</t>
  </si>
  <si>
    <t>E-postkarmen.joller@riigikogu.ee</t>
  </si>
  <si>
    <t>Maria Jufereva-Skuratovski</t>
  </si>
  <si>
    <t>E-postmaria.jufereva-skuratovski@riigikogu.ee</t>
  </si>
  <si>
    <t>Mario Kadastik</t>
  </si>
  <si>
    <t>E-postmario.kadastik@riigikogu.ee</t>
  </si>
  <si>
    <t>Raimond Kaljulaid</t>
  </si>
  <si>
    <t>E-postraimond.kaljulaid@riigikogu.ee</t>
  </si>
  <si>
    <t>Madis Kallas</t>
  </si>
  <si>
    <t>E-postmadis.kallas@riigikogu.ee</t>
  </si>
  <si>
    <t>Jaanus Karilaid</t>
  </si>
  <si>
    <t>E-postjaanus.karilaid@riigikogu.ee</t>
  </si>
  <si>
    <t>Ester Karuse</t>
  </si>
  <si>
    <t>E-postester.karuse@riigikogu.ee</t>
  </si>
  <si>
    <t>Liina Kersna</t>
  </si>
  <si>
    <t>E-postliina.kersna@riigikogu.ee</t>
  </si>
  <si>
    <t>Tanel Kiik</t>
  </si>
  <si>
    <t>E-posttanel.kiik@riigikogu.ee</t>
  </si>
  <si>
    <t>Meelis Kiili</t>
  </si>
  <si>
    <t>E-postmeelis.kiili@riigikogu.ee</t>
  </si>
  <si>
    <t>Kert Kingo</t>
  </si>
  <si>
    <t>E-postkert.kingo@riigikogu.ee</t>
  </si>
  <si>
    <t>Signe Kivi</t>
  </si>
  <si>
    <t>E-postsigne.kivi@riigikogu.ee</t>
  </si>
  <si>
    <t>Ando Kiviberg</t>
  </si>
  <si>
    <t>E-postando.kiviberg@riigikogu.ee</t>
  </si>
  <si>
    <t>Toomas Kivimägi</t>
  </si>
  <si>
    <t>E-posttoomas.kivimagi@riigikogu.ee</t>
  </si>
  <si>
    <t>Mait Klaassen</t>
  </si>
  <si>
    <t>E-postmait.klaassen@riigikogu.ee</t>
  </si>
  <si>
    <t>Aivar Kokk</t>
  </si>
  <si>
    <t>Isamaa fraktsioon</t>
  </si>
  <si>
    <t>E-postaivar.kokk@riigikogu.ee</t>
  </si>
  <si>
    <t>Rene Kokk</t>
  </si>
  <si>
    <t>E-postrene.kokk@riigikogu.ee</t>
  </si>
  <si>
    <t>Andrei Korobeinik</t>
  </si>
  <si>
    <t>E-postandrei.korobeinik@riigikogu.ee</t>
  </si>
  <si>
    <t>Anastassia Kovalenko-Kõlvart</t>
  </si>
  <si>
    <t>E-postanastassia.kovalenko-kolvart@riigikogu.ee</t>
  </si>
  <si>
    <t>Eerik-Niiles Kross</t>
  </si>
  <si>
    <t>E-posteerik-niiles.kross@riigikogu.ee</t>
  </si>
  <si>
    <t>Urmas Kruuse</t>
  </si>
  <si>
    <t>E-posturmas.kruuse@riigikogu.ee</t>
  </si>
  <si>
    <t>Leo Kunnas</t>
  </si>
  <si>
    <t>E-postleo.kunnas@riigikogu.ee</t>
  </si>
  <si>
    <t>Katrin Kuusemäe</t>
  </si>
  <si>
    <t>E-postkatrin.kuusemae@riigikogu.ee</t>
  </si>
  <si>
    <t>Helmen Kütt</t>
  </si>
  <si>
    <t>E-posthelmen.kytt@riigikogu.ee</t>
  </si>
  <si>
    <t>Kalle Laanet</t>
  </si>
  <si>
    <t>E-postkalle.laanet@riigikogu.ee</t>
  </si>
  <si>
    <t>Lauri Laats</t>
  </si>
  <si>
    <t>E-postlauri.laats@riigikogu.ee</t>
  </si>
  <si>
    <t>Hanah Lahe</t>
  </si>
  <si>
    <t>E-posthanah.lahe@riigikogu.ee</t>
  </si>
  <si>
    <t>Alar Laneman</t>
  </si>
  <si>
    <t>E-postalar.laneman@riigikogu.ee</t>
  </si>
  <si>
    <t>Maris Lauri</t>
  </si>
  <si>
    <t>E-postmaris.lauri@riigikogu.ee</t>
  </si>
  <si>
    <t>Mihkel Lees</t>
  </si>
  <si>
    <t>E-postmihkel.lees@riigikogu.ee</t>
  </si>
  <si>
    <t>Priit Lomp</t>
  </si>
  <si>
    <t>E-postpriit.lomp@riigikogu.ee</t>
  </si>
  <si>
    <t>Tõnis Lukas</t>
  </si>
  <si>
    <t>E-posttonis.lukas@riigikogu.ee</t>
  </si>
  <si>
    <t>Irja Lutsar</t>
  </si>
  <si>
    <t>E-postirja.lutsar@riigikogu.ee</t>
  </si>
  <si>
    <t>Mart Maastik</t>
  </si>
  <si>
    <t>E-postmart.maastik@riigikogu.ee</t>
  </si>
  <si>
    <t>Tiit Maran</t>
  </si>
  <si>
    <t>E-posttiit.maran@riigikogu.ee</t>
  </si>
  <si>
    <t>Eero Merilind</t>
  </si>
  <si>
    <t>E-posteero.merilind@riigikogu.ee</t>
  </si>
  <si>
    <t>Andres Metsoja</t>
  </si>
  <si>
    <t>E-postandres.metsoja@riigikogu.ee</t>
  </si>
  <si>
    <t>Marko Mihkelson</t>
  </si>
  <si>
    <t>E-postmarko.mihkelson@riigikogu.ee</t>
  </si>
  <si>
    <t>Tõnis Mölder</t>
  </si>
  <si>
    <t>E-posttonis.molder@riigikogu.ee</t>
  </si>
  <si>
    <t>Eduard Odinets</t>
  </si>
  <si>
    <t>E-posteduard.odinets@riigikogu.ee</t>
  </si>
  <si>
    <t>Heljo Pikhof</t>
  </si>
  <si>
    <t>E-postheljo.pikhof@riigikogu.ee</t>
  </si>
  <si>
    <t>Õnne Pillak</t>
  </si>
  <si>
    <t>E-postonne.pillak@riigikogu.ee</t>
  </si>
  <si>
    <t>Siim Pohlak</t>
  </si>
  <si>
    <t>E-postsiim.pohlak@riigikogu.ee</t>
  </si>
  <si>
    <t>Anti Poolamets</t>
  </si>
  <si>
    <t>E-postanti.poolamets@riigikogu.ee</t>
  </si>
  <si>
    <t>Evelin Poolamets</t>
  </si>
  <si>
    <t>E-postevelin.poolamets@riigikogu.ee</t>
  </si>
  <si>
    <t>Henn Põlluaas</t>
  </si>
  <si>
    <t>E-posthenn.polluaas@riigikogu.ee</t>
  </si>
  <si>
    <t>Juku-Kalle Raid</t>
  </si>
  <si>
    <t>E-postjuku-kalle.raid@riigikogu.ee</t>
  </si>
  <si>
    <t>Mati Raidma</t>
  </si>
  <si>
    <t>E-postmati.raidma@riigikogu.ee</t>
  </si>
  <si>
    <t>Reili Rand</t>
  </si>
  <si>
    <t>E-postreili.rand@riigikogu.ee</t>
  </si>
  <si>
    <t>Valdo Randpere</t>
  </si>
  <si>
    <t>E-postvaldo.randpere@riigikogu.ee</t>
  </si>
  <si>
    <t>Marek Reinaas</t>
  </si>
  <si>
    <t>E-postmarek.reinaas@riigikogu.ee</t>
  </si>
  <si>
    <t>Urmas Reinsalu</t>
  </si>
  <si>
    <t>E-posturmas.reinsalu@riigikogu.ee</t>
  </si>
  <si>
    <t>Maido Ruusmann</t>
  </si>
  <si>
    <t>E-postmaido.ruusmann@riigikogu.ee</t>
  </si>
  <si>
    <t>Luisa Rõivas</t>
  </si>
  <si>
    <t>E-postluisa.roivas@riigikogu.ee</t>
  </si>
  <si>
    <t>Kersti Sarapuu</t>
  </si>
  <si>
    <t>E-postkersti.sarapuu@riigikogu.ee</t>
  </si>
  <si>
    <t>Helir-Valdor Seeder</t>
  </si>
  <si>
    <t>E-posthelir-valdor.seeder@riigikogu.ee</t>
  </si>
  <si>
    <t>Andrus Seeme</t>
  </si>
  <si>
    <t>E-postandrus.seeme@riigikogu.ee</t>
  </si>
  <si>
    <t>Priit Sibul</t>
  </si>
  <si>
    <t>E-postpriit.sibul@riigikogu.ee</t>
  </si>
  <si>
    <t>Pipi-Liis Siemann</t>
  </si>
  <si>
    <t>E-postpipi-liis.siemann@riigikogu.ee</t>
  </si>
  <si>
    <t>Riina Solman</t>
  </si>
  <si>
    <t>E-postriina.solman@riigikogu.ee</t>
  </si>
  <si>
    <t>Kalev Stoicescu</t>
  </si>
  <si>
    <t>E-postkalev.stoicescu@riigikogu.ee</t>
  </si>
  <si>
    <t>Timo Suslov</t>
  </si>
  <si>
    <t>E-posttimo.suslov@riigikogu.ee</t>
  </si>
  <si>
    <t>Margit Sutrop</t>
  </si>
  <si>
    <t>E-postmargit.sutrop@riigikogu.ee</t>
  </si>
  <si>
    <t>Andres Sutt</t>
  </si>
  <si>
    <t>E-postandres.sutt@riigikogu.ee</t>
  </si>
  <si>
    <t>Aivar Sõerd</t>
  </si>
  <si>
    <t>E-postaivar.soerd@riigikogu.ee</t>
  </si>
  <si>
    <t>Kristina Šmigun-Vähi</t>
  </si>
  <si>
    <t>E-postkristina.smigun-vahi@riigikogu.ee</t>
  </si>
  <si>
    <t>Kadri Tali</t>
  </si>
  <si>
    <t>E-postkadri.tali@riigikogu.ee</t>
  </si>
  <si>
    <t>Peeter Tali</t>
  </si>
  <si>
    <t>E-postpeeter.tali@riigikogu.ee</t>
  </si>
  <si>
    <t>Tarmo Tamm</t>
  </si>
  <si>
    <t>E-posttarmo.tamm@riigikogu.ee</t>
  </si>
  <si>
    <t>Igor Taro</t>
  </si>
  <si>
    <t>E-postigor.taro@riigikogu.ee</t>
  </si>
  <si>
    <t>Tanel Tein</t>
  </si>
  <si>
    <t>E-posttanel.tein@riigikogu.ee</t>
  </si>
  <si>
    <t>Hendrik-Johannes Terras</t>
  </si>
  <si>
    <t>E-posthendrik.terras@riigikogu.ee</t>
  </si>
  <si>
    <t>Urve Tiidus</t>
  </si>
  <si>
    <t>E-posturve.tiidus@riigikogu.ee</t>
  </si>
  <si>
    <t>Madis Timpson</t>
  </si>
  <si>
    <t>E-postmadis.timpson@riigikogu.ee</t>
  </si>
  <si>
    <t>Vilja Toomast</t>
  </si>
  <si>
    <t>E-postvilja.toomast@riigikogu.ee</t>
  </si>
  <si>
    <t>Aleksandr Tšaplõgin</t>
  </si>
  <si>
    <t>E-postaleksandr.tsaplogin@riigikogu.ee</t>
  </si>
  <si>
    <t>Toomas Uibo</t>
  </si>
  <si>
    <t>E-posttoomas.uibo@riigikogu.ee</t>
  </si>
  <si>
    <t>Kristo-Enn Vaga</t>
  </si>
  <si>
    <t>E-postkristoenn.vaga@riigikogu.ee</t>
  </si>
  <si>
    <t>Jaak Valge</t>
  </si>
  <si>
    <t>E-postjaak.valge@riigikogu.ee</t>
  </si>
  <si>
    <t>Varro Vooglaid</t>
  </si>
  <si>
    <t>E-postvarro.vooglaid@riigikogu.ee</t>
  </si>
  <si>
    <t>Mart Võrklaev</t>
  </si>
  <si>
    <t>E-postmart.vorklaev@riigikogu.ee</t>
  </si>
  <si>
    <t>&gt;=0</t>
  </si>
  <si>
    <t>Euroopa liidu riigid</t>
  </si>
  <si>
    <t>rahvaarvu muutus protsentides 2011-2019</t>
  </si>
  <si>
    <t>rahvaarvu muutus arvudes</t>
  </si>
  <si>
    <t>positiivse rahvaarvumuuduga riikide arv</t>
  </si>
  <si>
    <t xml:space="preserve">mitmes </t>
  </si>
  <si>
    <t>top 3 riiki, kus rahvaarv enim kahanenud</t>
  </si>
  <si>
    <t>Austria</t>
  </si>
  <si>
    <t>Belgium</t>
  </si>
  <si>
    <t>Bulgaria</t>
  </si>
  <si>
    <t>Croatia</t>
  </si>
  <si>
    <t>Czechia</t>
  </si>
  <si>
    <t>Cyprus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</si>
  <si>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</si>
  <si>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</si>
  <si>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</si>
  <si>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</si>
  <si>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</si>
  <si>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</si>
  <si>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</si>
  <si>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</si>
  <si>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</si>
  <si>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</si>
  <si>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</si>
  <si>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</si>
  <si>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</si>
  <si>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</si>
  <si>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</si>
  <si>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</si>
  <si>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</si>
  <si>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</si>
  <si>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</si>
  <si>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</si>
  <si>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</si>
  <si>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kokku</t>
  </si>
  <si>
    <t>Andmed on antud iga aasta 1. jaanuari seisuga</t>
  </si>
  <si>
    <t>GEO/TIME</t>
  </si>
  <si>
    <t>Iceland</t>
  </si>
  <si>
    <t>Liechtenstein</t>
  </si>
  <si>
    <t>Norway</t>
  </si>
  <si>
    <t>Switzerland</t>
  </si>
  <si>
    <t>United Kingdom</t>
  </si>
  <si>
    <t>Montenegro</t>
  </si>
  <si>
    <t>North Macedonia</t>
  </si>
  <si>
    <t>Albania</t>
  </si>
  <si>
    <t>Serbia</t>
  </si>
  <si>
    <t>Turkey</t>
  </si>
  <si>
    <t>Andorra</t>
  </si>
  <si>
    <t>:</t>
  </si>
  <si>
    <t>Belarus</t>
  </si>
  <si>
    <t>Bosnia and Herzegovina</t>
  </si>
  <si>
    <t>Kosovo (under United Nations Security Council Resolution 1244/99)</t>
  </si>
  <si>
    <t>Moldova</t>
  </si>
  <si>
    <t>Monaco</t>
  </si>
  <si>
    <t>Russia</t>
  </si>
  <si>
    <t>San Marino</t>
  </si>
  <si>
    <t>Ukraine</t>
  </si>
  <si>
    <t>Armenia</t>
  </si>
  <si>
    <t>Azerbaijan</t>
  </si>
  <si>
    <t>Georgia</t>
  </si>
  <si>
    <t>keskmine palk</t>
  </si>
  <si>
    <t>Kvartiilid</t>
  </si>
  <si>
    <t>Transport</t>
  </si>
  <si>
    <t>Tootmine</t>
  </si>
  <si>
    <t>Ost</t>
  </si>
  <si>
    <t>Müük</t>
  </si>
  <si>
    <t>Majandus</t>
  </si>
  <si>
    <t>Ladu</t>
  </si>
  <si>
    <t>Finants</t>
  </si>
  <si>
    <t>Isikukood</t>
  </si>
  <si>
    <t>Sünniaeg</t>
  </si>
  <si>
    <t>Vanus</t>
  </si>
  <si>
    <t>Sünnipäev</t>
  </si>
  <si>
    <t>Nädalapäeva nr</t>
  </si>
  <si>
    <t>Nädalapäeva nimetus</t>
  </si>
  <si>
    <t>Osakond</t>
  </si>
  <si>
    <t>Amet</t>
  </si>
  <si>
    <t>Palk</t>
  </si>
  <si>
    <t>Olav Berk</t>
  </si>
  <si>
    <t>36010010961</t>
  </si>
  <si>
    <t>tööline</t>
  </si>
  <si>
    <t>valvur</t>
  </si>
  <si>
    <t>Aasa Randla</t>
  </si>
  <si>
    <t>46206131090</t>
  </si>
  <si>
    <t>koristaja</t>
  </si>
  <si>
    <t>Riho Kuusk</t>
  </si>
  <si>
    <t>36209121746</t>
  </si>
  <si>
    <t>treial</t>
  </si>
  <si>
    <t>Marko Erikson</t>
  </si>
  <si>
    <t>36304040224</t>
  </si>
  <si>
    <t>meister</t>
  </si>
  <si>
    <t>sekretär</t>
  </si>
  <si>
    <t>Mirja Bergmann</t>
  </si>
  <si>
    <t>46309091292</t>
  </si>
  <si>
    <t>raamatupidaja</t>
  </si>
  <si>
    <t>Aadu Pulk</t>
  </si>
  <si>
    <t>36310140329</t>
  </si>
  <si>
    <t>müügijuht</t>
  </si>
  <si>
    <t>Einar Ehala</t>
  </si>
  <si>
    <t>36404211932</t>
  </si>
  <si>
    <t>müügiesindaja</t>
  </si>
  <si>
    <t>Hendrik Kanter</t>
  </si>
  <si>
    <t>36408291485</t>
  </si>
  <si>
    <t>juhataja</t>
  </si>
  <si>
    <t>Leida Jaanus</t>
  </si>
  <si>
    <t>46501120761</t>
  </si>
  <si>
    <t>lukksepp</t>
  </si>
  <si>
    <t>Anton Meister</t>
  </si>
  <si>
    <t>36502051451</t>
  </si>
  <si>
    <t>Madis Maasalu</t>
  </si>
  <si>
    <t>36503080641</t>
  </si>
  <si>
    <t>komplekteerija</t>
  </si>
  <si>
    <t>Sirje Härm</t>
  </si>
  <si>
    <t>46505111762</t>
  </si>
  <si>
    <t>jurist</t>
  </si>
  <si>
    <t>Kaivo Berk</t>
  </si>
  <si>
    <t>36510160948</t>
  </si>
  <si>
    <t>Sirje Kreen</t>
  </si>
  <si>
    <t>46512241604</t>
  </si>
  <si>
    <t>dispetšer</t>
  </si>
  <si>
    <t>Reijo Meigas</t>
  </si>
  <si>
    <t>36612160344</t>
  </si>
  <si>
    <t>autojuht</t>
  </si>
  <si>
    <t>Tiina Toomsalu</t>
  </si>
  <si>
    <t>46707200293</t>
  </si>
  <si>
    <t>Aare Marmor</t>
  </si>
  <si>
    <t>36709211514</t>
  </si>
  <si>
    <t>Evi Sarapik</t>
  </si>
  <si>
    <t>46801040128</t>
  </si>
  <si>
    <t>Erki Arsenov</t>
  </si>
  <si>
    <t>36902091558</t>
  </si>
  <si>
    <t>Karl Salu</t>
  </si>
  <si>
    <t>37004171448</t>
  </si>
  <si>
    <t>Argo Salu</t>
  </si>
  <si>
    <t>37005271076</t>
  </si>
  <si>
    <t>Jaan Kaasik</t>
  </si>
  <si>
    <t>37012181172</t>
  </si>
  <si>
    <t>Aarne Oks</t>
  </si>
  <si>
    <t>37107121823</t>
  </si>
  <si>
    <t>Margus Maasalu</t>
  </si>
  <si>
    <t>37203011612</t>
  </si>
  <si>
    <t>Reijo Müürsepp</t>
  </si>
  <si>
    <t>37210080782</t>
  </si>
  <si>
    <t>Eino Luige</t>
  </si>
  <si>
    <t>37211131889</t>
  </si>
  <si>
    <t>Juulia Tubin</t>
  </si>
  <si>
    <t>47402281072</t>
  </si>
  <si>
    <t>Kaspar Veesimaa</t>
  </si>
  <si>
    <t>37506090373</t>
  </si>
  <si>
    <t>Reijo Bauman</t>
  </si>
  <si>
    <t>37510020974</t>
  </si>
  <si>
    <t>Arnold Merilaid</t>
  </si>
  <si>
    <t>37602200773</t>
  </si>
  <si>
    <t>Malle Ligi</t>
  </si>
  <si>
    <t>47709300774</t>
  </si>
  <si>
    <t>Airi Põld</t>
  </si>
  <si>
    <t>47904081561</t>
  </si>
  <si>
    <t>Kristel Astok</t>
  </si>
  <si>
    <t>47905071892</t>
  </si>
  <si>
    <t>Aadu Malva</t>
  </si>
  <si>
    <t>38003031433</t>
  </si>
  <si>
    <t>Kristiina Oks</t>
  </si>
  <si>
    <t>48003120597</t>
  </si>
  <si>
    <t>Ahti Tubin</t>
  </si>
  <si>
    <t>38007031273</t>
  </si>
  <si>
    <t>Evelin Põld</t>
  </si>
  <si>
    <t>48008180765</t>
  </si>
  <si>
    <t>Valve Mäesalu</t>
  </si>
  <si>
    <t>48008291582</t>
  </si>
  <si>
    <t>Einar Laanepõld</t>
  </si>
  <si>
    <t>38202090535</t>
  </si>
  <si>
    <t>Andrus Koort</t>
  </si>
  <si>
    <t>38203031751</t>
  </si>
  <si>
    <t>Aadu Elson</t>
  </si>
  <si>
    <t>38304071317</t>
  </si>
  <si>
    <t>Kaivo Mets</t>
  </si>
  <si>
    <t>38308301931</t>
  </si>
  <si>
    <t>Malle Põldmaa</t>
  </si>
  <si>
    <t>48501031592</t>
  </si>
  <si>
    <t>Katy Veesimaa</t>
  </si>
  <si>
    <t>48510140685</t>
  </si>
  <si>
    <t>Erki Ainsaar</t>
  </si>
  <si>
    <t>38511090390</t>
  </si>
  <si>
    <t>Aarne Norak</t>
  </si>
  <si>
    <t>38512040782</t>
  </si>
  <si>
    <t>Arvi Väljas</t>
  </si>
  <si>
    <t>38610031490</t>
  </si>
  <si>
    <t>Paul Naaber</t>
  </si>
  <si>
    <t>38706191094</t>
  </si>
  <si>
    <t>Maarja Ambros</t>
  </si>
  <si>
    <t>48711111283</t>
  </si>
  <si>
    <t>Tarmo Müller</t>
  </si>
  <si>
    <t>38903020192</t>
  </si>
  <si>
    <t>Selma Parre</t>
  </si>
  <si>
    <t>48903171602</t>
  </si>
  <si>
    <t>Ahto Danilov</t>
  </si>
  <si>
    <t>38908221101</t>
  </si>
  <si>
    <t>Jana Kaal</t>
  </si>
  <si>
    <t>49003161933</t>
  </si>
  <si>
    <t>Aigi Härm</t>
  </si>
  <si>
    <t>49003200577</t>
  </si>
  <si>
    <t>Hanno Pedak</t>
  </si>
  <si>
    <t>39101221751</t>
  </si>
  <si>
    <t>Malle Kivioja</t>
  </si>
  <si>
    <t>49102011962</t>
  </si>
  <si>
    <t>Kristjan Jürimäe</t>
  </si>
  <si>
    <t>39108021627</t>
  </si>
  <si>
    <t>Reijo Muld</t>
  </si>
  <si>
    <t>39109220457</t>
  </si>
  <si>
    <t>Erki Lepiksoo</t>
  </si>
  <si>
    <t>39110290505</t>
  </si>
  <si>
    <t>Heli Lind</t>
  </si>
  <si>
    <t>49111090156</t>
  </si>
  <si>
    <t>Erno Salumets</t>
  </si>
  <si>
    <t>39112151049</t>
  </si>
  <si>
    <t>Faina Lepp</t>
  </si>
  <si>
    <t>49203291419</t>
  </si>
  <si>
    <t>Ene Burmeister</t>
  </si>
  <si>
    <t>49208180374</t>
  </si>
  <si>
    <t>Kustav Salu</t>
  </si>
  <si>
    <t>39211170603</t>
  </si>
  <si>
    <t>Elvi Berk</t>
  </si>
  <si>
    <t>49304030497</t>
  </si>
  <si>
    <t>Erika Bachmann</t>
  </si>
  <si>
    <t>49304040558</t>
  </si>
  <si>
    <t>Ene Elmik</t>
  </si>
  <si>
    <t>49304210191</t>
  </si>
  <si>
    <t>Tiina Rajamäe</t>
  </si>
  <si>
    <t>49305130641</t>
  </si>
  <si>
    <t>Margus Roosimägi</t>
  </si>
  <si>
    <t>39305181358</t>
  </si>
  <si>
    <t>Mare Eesmaa</t>
  </si>
  <si>
    <t>49408141777</t>
  </si>
  <si>
    <t>Aarne Mikson</t>
  </si>
  <si>
    <t>39408300808</t>
  </si>
  <si>
    <t>Madis Paulus</t>
  </si>
  <si>
    <t>39502190857</t>
  </si>
  <si>
    <t>Vilma Eesmaa</t>
  </si>
  <si>
    <t>49505260913</t>
  </si>
  <si>
    <t>Irma Piirsalu</t>
  </si>
  <si>
    <t>49702101444</t>
  </si>
  <si>
    <t>Boris Küünemäe</t>
  </si>
  <si>
    <t>39703101307</t>
  </si>
  <si>
    <t>Hilja Raid</t>
  </si>
  <si>
    <t>49710311583</t>
  </si>
  <si>
    <t>Jaan Laubre</t>
  </si>
  <si>
    <t>39801130307</t>
  </si>
  <si>
    <t>Eevald Parts</t>
  </si>
  <si>
    <t>39806150256</t>
  </si>
  <si>
    <t>Ando Nõmmik</t>
  </si>
  <si>
    <t>39902180805</t>
  </si>
  <si>
    <t>Kristjan Mägi</t>
  </si>
  <si>
    <t>39904140921</t>
  </si>
  <si>
    <t>Hanno Pajusaar</t>
  </si>
  <si>
    <t>50003240557</t>
  </si>
  <si>
    <t>Erna Eek</t>
  </si>
  <si>
    <t>60005211087</t>
  </si>
  <si>
    <t>Arnold Norak</t>
  </si>
  <si>
    <t>50006261879</t>
  </si>
  <si>
    <t>Aare Raudsepp</t>
  </si>
  <si>
    <t>50102260876</t>
  </si>
  <si>
    <t>Annika Paju</t>
  </si>
  <si>
    <t>60103151648</t>
  </si>
  <si>
    <t>Kersti Miller</t>
  </si>
  <si>
    <t>60107201475</t>
  </si>
  <si>
    <t>Raivo Lokk</t>
  </si>
  <si>
    <t>50111121233</t>
  </si>
  <si>
    <t>Aadu Heinlo</t>
  </si>
  <si>
    <t>50203250954</t>
  </si>
  <si>
    <t>Reijo Okspuu</t>
  </si>
  <si>
    <t>50204130232</t>
  </si>
  <si>
    <t>Tiina Markus</t>
  </si>
  <si>
    <t>60206290321</t>
  </si>
  <si>
    <t>Faina Kukk</t>
  </si>
  <si>
    <t>60208271299</t>
  </si>
  <si>
    <t>Meelis Petrov</t>
  </si>
  <si>
    <t>50209191696</t>
  </si>
  <si>
    <t>Meelis Kalju</t>
  </si>
  <si>
    <t>50211141511</t>
  </si>
  <si>
    <t>Priit Burmeister</t>
  </si>
  <si>
    <t>50212141976</t>
  </si>
  <si>
    <t>Jaan Noormets</t>
  </si>
  <si>
    <t>50301051432</t>
  </si>
  <si>
    <t>Laine Eek</t>
  </si>
  <si>
    <t>60303091831</t>
  </si>
  <si>
    <t>Karl Agur</t>
  </si>
  <si>
    <t>50412180429</t>
  </si>
  <si>
    <t>Helen Aigro</t>
  </si>
  <si>
    <t>60103010505</t>
  </si>
  <si>
    <t>Erika Kasemets</t>
  </si>
  <si>
    <t>60211241218</t>
  </si>
  <si>
    <t>aasta</t>
  </si>
  <si>
    <t>Albaania</t>
  </si>
  <si>
    <t>Iirimaa</t>
  </si>
  <si>
    <t>tingimus</t>
  </si>
  <si>
    <t xml:space="preserve"> tingimus</t>
  </si>
  <si>
    <t>EKRE</t>
  </si>
  <si>
    <t>REFORMIERAKOND</t>
  </si>
  <si>
    <t>Meessugu</t>
  </si>
  <si>
    <t>õiguskomisjon</t>
  </si>
  <si>
    <t>ANDMED</t>
  </si>
  <si>
    <t>tekstist andmete eraldamine,  IF, COUNTIF funktsioonide kasutamine</t>
  </si>
  <si>
    <t>osakonnad</t>
  </si>
  <si>
    <t>andmeanalüüs  INDEX + MATCH funktsiooniga, COUNTIF, SMALL, andmed EUROSTAT lehelt</t>
  </si>
  <si>
    <t>Eurostat!A1</t>
  </si>
  <si>
    <t>Andmed</t>
  </si>
  <si>
    <t>rahvaarv (index match)</t>
  </si>
  <si>
    <t>andmed</t>
  </si>
  <si>
    <t>ARVUTUSED ANDMETE PÕHJAL</t>
  </si>
  <si>
    <t>mitteunikaalsete initsiaalidega EKRE liikmete arv</t>
  </si>
  <si>
    <t>Riigikogu!B15:G117</t>
  </si>
  <si>
    <t>Riigikogu!I15:N117</t>
  </si>
  <si>
    <t>protsentuaalselt</t>
  </si>
  <si>
    <t>VALEMID ja arvutused</t>
  </si>
  <si>
    <t>palga erinevus osakonna keskmisest palgast</t>
  </si>
  <si>
    <t>ANDMETEST tuletatud info</t>
  </si>
  <si>
    <t>ARVUTUSED/ VALEMID</t>
  </si>
  <si>
    <t>Personal!B16:F116</t>
  </si>
  <si>
    <t>Personal!J7:O14</t>
  </si>
  <si>
    <t>isikukoodist nime, soo, sünniaja ja vanuse leidmine, SUMIF, COUNTIF, INDEX MATCH funktsioonid, palkade analüüs</t>
  </si>
  <si>
    <t>TÄIENDAVAD ARVUTUSED PALGA KOHTA</t>
  </si>
  <si>
    <t>graafiku kujutamine, transponeerimine, andmete analüüs</t>
  </si>
  <si>
    <t>vähenenud rahvaarv numbrites</t>
  </si>
  <si>
    <t>Arvutused</t>
  </si>
  <si>
    <t>Riigid!C15:K45</t>
  </si>
  <si>
    <t>Personal!G18:M116</t>
  </si>
  <si>
    <t>palkade kvartiilid</t>
  </si>
  <si>
    <t>Töötajate arv, kelle palk on väiksem kui antud kvartiili ülempiir</t>
  </si>
  <si>
    <t>transponeeritud väärtused</t>
  </si>
  <si>
    <t>aheltempo leidmine</t>
  </si>
  <si>
    <t>suhteline aheljuurdekasvutempo albaania</t>
  </si>
  <si>
    <t>suhteline aheljuurdekasvutempo Iirimaa</t>
  </si>
  <si>
    <t>Albaania keskmine rahvaarv 2010-2020</t>
  </si>
  <si>
    <t>Iirimaa keskmine rahvaarv 2010-2020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</si>
</sst>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[$€-425]_-;\-* #,##0.00\ [$€-425]_-;_-* &quot;-&quot;??\ [$€-425]_-;_-@_-"/>
    <numFmt numFmtId="165" formatCode="_-* #,##0\ [$€-425]_-;\-* #,##0\ [$€-425]_-;_-* &quot;-&quot;??\ [$€-425]_-;_-@_-"/>
    <numFmt numFmtId="166" formatCode="0.0"/>
    <numFmt numFmtId="167" formatCode="_-* #,##0_-;\-* #,##0_-;_-* &quot;-&quot;??_-;_-@_-"/>
  </numFmts>
  <fonts count="19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i/>
      <sz val="11"/>
      <color theme="1"/>
      <name val="Calibri"/>
      <family val="2"/>
      <charset val="186"/>
      <scheme val="minor"/>
    </font>
    <font>
      <b/>
      <sz val="12"/>
      <color theme="1"/>
      <name val="Calibri"/>
      <family val="2"/>
      <charset val="186"/>
      <scheme val="minor"/>
    </font>
    <font>
      <b/>
      <sz val="12"/>
      <color rgb="FFFF0000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86"/>
    </font>
    <font>
      <sz val="11"/>
      <name val="Calibri"/>
      <family val="2"/>
      <charset val="186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charset val="186"/>
      <scheme val="minor"/>
    </font>
    <font>
      <b/>
      <sz val="12"/>
      <name val="Calibri"/>
      <family val="2"/>
      <charset val="186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  <font>
      <b/>
      <sz val="20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4"/>
      <color theme="10"/>
      <name val="Calibri"/>
      <family val="2"/>
      <charset val="186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0" fontId="14" fillId="0" borderId="0" applyNumberFormat="0" applyFill="0" applyBorder="0" applyAlignment="0" applyProtection="0"/>
  </cellStyleXfs>
  <cellXfs count="119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2" fontId="0" fillId="0" borderId="0" xfId="0" applyNumberFormat="1"/>
    <xf numFmtId="0" fontId="7" fillId="0" borderId="1" xfId="0" applyFont="1" applyBorder="1"/>
    <xf numFmtId="0" fontId="9" fillId="0" borderId="1" xfId="3" applyFont="1" applyBorder="1"/>
    <xf numFmtId="10" fontId="0" fillId="0" borderId="2" xfId="2" applyNumberFormat="1" applyFont="1" applyBorder="1"/>
    <xf numFmtId="1" fontId="0" fillId="0" borderId="5" xfId="0" applyNumberFormat="1" applyBorder="1"/>
    <xf numFmtId="0" fontId="0" fillId="0" borderId="6" xfId="0" applyBorder="1"/>
    <xf numFmtId="10" fontId="0" fillId="0" borderId="1" xfId="2" applyNumberFormat="1" applyFont="1" applyBorder="1"/>
    <xf numFmtId="0" fontId="0" fillId="0" borderId="7" xfId="0" applyBorder="1"/>
    <xf numFmtId="0" fontId="0" fillId="0" borderId="5" xfId="0" applyBorder="1"/>
    <xf numFmtId="0" fontId="10" fillId="0" borderId="1" xfId="3" applyFont="1" applyBorder="1"/>
    <xf numFmtId="0" fontId="11" fillId="0" borderId="0" xfId="3" applyFont="1"/>
    <xf numFmtId="0" fontId="3" fillId="0" borderId="0" xfId="0" applyFont="1"/>
    <xf numFmtId="0" fontId="8" fillId="2" borderId="8" xfId="0" applyFont="1" applyFill="1" applyBorder="1"/>
    <xf numFmtId="3" fontId="8" fillId="0" borderId="8" xfId="0" applyNumberFormat="1" applyFont="1" applyBorder="1"/>
    <xf numFmtId="3" fontId="8" fillId="0" borderId="9" xfId="0" applyNumberFormat="1" applyFont="1" applyBorder="1"/>
    <xf numFmtId="0" fontId="8" fillId="0" borderId="8" xfId="0" applyFont="1" applyBorder="1"/>
    <xf numFmtId="0" fontId="8" fillId="0" borderId="0" xfId="0" applyFont="1"/>
    <xf numFmtId="0" fontId="8" fillId="0" borderId="0" xfId="3"/>
    <xf numFmtId="0" fontId="0" fillId="0" borderId="10" xfId="0" applyBorder="1"/>
    <xf numFmtId="164" fontId="0" fillId="0" borderId="10" xfId="0" applyNumberFormat="1" applyBorder="1"/>
    <xf numFmtId="0" fontId="0" fillId="0" borderId="0" xfId="0" applyAlignment="1">
      <alignment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66" fontId="0" fillId="0" borderId="0" xfId="0" applyNumberFormat="1"/>
    <xf numFmtId="1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4" borderId="10" xfId="0" applyFill="1" applyBorder="1" applyAlignment="1">
      <alignment wrapText="1"/>
    </xf>
    <xf numFmtId="167" fontId="0" fillId="0" borderId="10" xfId="1" applyNumberFormat="1" applyFont="1" applyBorder="1"/>
    <xf numFmtId="3" fontId="0" fillId="0" borderId="10" xfId="0" applyNumberFormat="1" applyBorder="1"/>
    <xf numFmtId="10" fontId="7" fillId="0" borderId="2" xfId="2" applyNumberFormat="1" applyFont="1" applyBorder="1"/>
    <xf numFmtId="1" fontId="7" fillId="0" borderId="5" xfId="0" applyNumberFormat="1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" fontId="0" fillId="0" borderId="13" xfId="0" applyNumberFormat="1" applyBorder="1"/>
    <xf numFmtId="0" fontId="7" fillId="0" borderId="0" xfId="0" applyFont="1"/>
    <xf numFmtId="166" fontId="7" fillId="0" borderId="0" xfId="0" applyNumberFormat="1" applyFont="1"/>
    <xf numFmtId="2" fontId="7" fillId="0" borderId="0" xfId="0" applyNumberFormat="1" applyFont="1"/>
    <xf numFmtId="0" fontId="13" fillId="0" borderId="0" xfId="0" applyFont="1"/>
    <xf numFmtId="0" fontId="3" fillId="5" borderId="1" xfId="0" applyFont="1" applyFill="1" applyBorder="1"/>
    <xf numFmtId="0" fontId="3" fillId="5" borderId="28" xfId="0" applyFont="1" applyFill="1" applyBorder="1" applyAlignment="1">
      <alignment wrapText="1"/>
    </xf>
    <xf numFmtId="0" fontId="3" fillId="5" borderId="29" xfId="0" applyFont="1" applyFill="1" applyBorder="1" applyAlignment="1">
      <alignment wrapText="1"/>
    </xf>
    <xf numFmtId="0" fontId="3" fillId="5" borderId="27" xfId="0" applyFont="1" applyFill="1" applyBorder="1" applyAlignment="1">
      <alignment wrapText="1"/>
    </xf>
    <xf numFmtId="0" fontId="3" fillId="5" borderId="28" xfId="0" applyFont="1" applyFill="1" applyBorder="1"/>
    <xf numFmtId="0" fontId="7" fillId="5" borderId="1" xfId="0" applyFont="1" applyFill="1" applyBorder="1"/>
    <xf numFmtId="0" fontId="7" fillId="5" borderId="2" xfId="0" applyFont="1" applyFill="1" applyBorder="1"/>
    <xf numFmtId="0" fontId="7" fillId="5" borderId="12" xfId="0" applyFont="1" applyFill="1" applyBorder="1"/>
    <xf numFmtId="0" fontId="14" fillId="0" borderId="30" xfId="4" applyBorder="1"/>
    <xf numFmtId="0" fontId="7" fillId="5" borderId="18" xfId="0" applyFont="1" applyFill="1" applyBorder="1"/>
    <xf numFmtId="0" fontId="3" fillId="5" borderId="12" xfId="0" applyFont="1" applyFill="1" applyBorder="1"/>
    <xf numFmtId="0" fontId="3" fillId="5" borderId="12" xfId="0" applyFont="1" applyFill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14" fillId="0" borderId="1" xfId="4" applyBorder="1"/>
    <xf numFmtId="0" fontId="16" fillId="0" borderId="1" xfId="4" applyFont="1" applyBorder="1"/>
    <xf numFmtId="0" fontId="7" fillId="5" borderId="1" xfId="0" applyFont="1" applyFill="1" applyBorder="1" applyAlignment="1">
      <alignment wrapText="1"/>
    </xf>
    <xf numFmtId="0" fontId="12" fillId="3" borderId="37" xfId="0" applyFont="1" applyFill="1" applyBorder="1" applyAlignment="1">
      <alignment vertical="center" wrapText="1"/>
    </xf>
    <xf numFmtId="0" fontId="12" fillId="3" borderId="38" xfId="0" applyFont="1" applyFill="1" applyBorder="1" applyAlignment="1">
      <alignment horizontal="center" vertical="center" wrapText="1"/>
    </xf>
    <xf numFmtId="3" fontId="12" fillId="3" borderId="39" xfId="0" applyNumberFormat="1" applyFont="1" applyFill="1" applyBorder="1" applyAlignment="1">
      <alignment horizontal="center" vertical="center" wrapText="1"/>
    </xf>
    <xf numFmtId="0" fontId="0" fillId="0" borderId="40" xfId="0" applyBorder="1"/>
    <xf numFmtId="165" fontId="0" fillId="0" borderId="41" xfId="0" applyNumberFormat="1" applyBorder="1"/>
    <xf numFmtId="0" fontId="0" fillId="0" borderId="42" xfId="0" applyBorder="1"/>
    <xf numFmtId="0" fontId="0" fillId="0" borderId="43" xfId="0" applyBorder="1" applyAlignment="1">
      <alignment horizontal="center"/>
    </xf>
    <xf numFmtId="1" fontId="0" fillId="0" borderId="43" xfId="0" applyNumberFormat="1" applyBorder="1" applyAlignment="1">
      <alignment horizontal="left"/>
    </xf>
    <xf numFmtId="165" fontId="0" fillId="0" borderId="44" xfId="0" applyNumberFormat="1" applyBorder="1"/>
    <xf numFmtId="0" fontId="12" fillId="3" borderId="37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/>
    </xf>
    <xf numFmtId="164" fontId="0" fillId="0" borderId="41" xfId="0" applyNumberFormat="1" applyBorder="1"/>
    <xf numFmtId="0" fontId="0" fillId="0" borderId="42" xfId="0" applyBorder="1" applyAlignment="1">
      <alignment horizontal="center"/>
    </xf>
    <xf numFmtId="14" fontId="0" fillId="0" borderId="43" xfId="0" applyNumberFormat="1" applyBorder="1" applyAlignment="1">
      <alignment horizontal="center"/>
    </xf>
    <xf numFmtId="164" fontId="0" fillId="0" borderId="44" xfId="0" applyNumberFormat="1" applyBorder="1"/>
    <xf numFmtId="0" fontId="7" fillId="6" borderId="1" xfId="0" applyFont="1" applyFill="1" applyBorder="1"/>
    <xf numFmtId="0" fontId="7" fillId="6" borderId="1" xfId="0" applyFont="1" applyFill="1" applyBorder="1" applyAlignment="1">
      <alignment wrapText="1"/>
    </xf>
    <xf numFmtId="0" fontId="7" fillId="6" borderId="10" xfId="0" applyFont="1" applyFill="1" applyBorder="1"/>
    <xf numFmtId="0" fontId="7" fillId="6" borderId="14" xfId="0" applyFont="1" applyFill="1" applyBorder="1"/>
    <xf numFmtId="0" fontId="7" fillId="5" borderId="45" xfId="0" applyFont="1" applyFill="1" applyBorder="1"/>
    <xf numFmtId="0" fontId="0" fillId="0" borderId="11" xfId="0" applyBorder="1"/>
    <xf numFmtId="0" fontId="7" fillId="6" borderId="10" xfId="0" applyFont="1" applyFill="1" applyBorder="1" applyAlignment="1">
      <alignment wrapText="1"/>
    </xf>
    <xf numFmtId="0" fontId="8" fillId="2" borderId="46" xfId="0" applyFont="1" applyFill="1" applyBorder="1"/>
    <xf numFmtId="0" fontId="8" fillId="2" borderId="47" xfId="0" applyFont="1" applyFill="1" applyBorder="1"/>
    <xf numFmtId="0" fontId="0" fillId="4" borderId="12" xfId="0" applyFill="1" applyBorder="1"/>
    <xf numFmtId="0" fontId="18" fillId="0" borderId="1" xfId="4" applyFont="1" applyBorder="1" applyAlignment="1">
      <alignment horizontal="center" vertical="center"/>
    </xf>
    <xf numFmtId="0" fontId="15" fillId="0" borderId="19" xfId="0" applyFont="1" applyBorder="1" applyAlignment="1">
      <alignment horizontal="center" wrapText="1"/>
    </xf>
    <xf numFmtId="0" fontId="15" fillId="0" borderId="20" xfId="0" applyFont="1" applyBorder="1" applyAlignment="1">
      <alignment horizontal="center" wrapText="1"/>
    </xf>
    <xf numFmtId="0" fontId="15" fillId="0" borderId="21" xfId="0" applyFont="1" applyBorder="1" applyAlignment="1">
      <alignment horizontal="center" wrapText="1"/>
    </xf>
    <xf numFmtId="0" fontId="15" fillId="0" borderId="22" xfId="0" applyFont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15" fillId="0" borderId="23" xfId="0" applyFont="1" applyBorder="1" applyAlignment="1">
      <alignment horizontal="center" wrapText="1"/>
    </xf>
    <xf numFmtId="0" fontId="15" fillId="0" borderId="24" xfId="0" applyFont="1" applyBorder="1" applyAlignment="1">
      <alignment horizontal="center" wrapText="1"/>
    </xf>
    <xf numFmtId="0" fontId="15" fillId="0" borderId="25" xfId="0" applyFont="1" applyBorder="1" applyAlignment="1">
      <alignment horizontal="center" wrapText="1"/>
    </xf>
    <xf numFmtId="0" fontId="15" fillId="0" borderId="26" xfId="0" applyFont="1" applyBorder="1" applyAlignment="1">
      <alignment horizontal="center" wrapText="1"/>
    </xf>
    <xf numFmtId="0" fontId="7" fillId="5" borderId="31" xfId="0" applyFont="1" applyFill="1" applyBorder="1" applyAlignment="1">
      <alignment horizontal="center"/>
    </xf>
    <xf numFmtId="0" fontId="7" fillId="5" borderId="32" xfId="0" applyFont="1" applyFill="1" applyBorder="1" applyAlignment="1">
      <alignment horizontal="center"/>
    </xf>
    <xf numFmtId="0" fontId="7" fillId="5" borderId="3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7" fillId="6" borderId="34" xfId="0" applyFont="1" applyFill="1" applyBorder="1" applyAlignment="1">
      <alignment horizontal="center"/>
    </xf>
    <xf numFmtId="0" fontId="7" fillId="6" borderId="36" xfId="0" applyFont="1" applyFill="1" applyBorder="1" applyAlignment="1">
      <alignment horizontal="center"/>
    </xf>
    <xf numFmtId="0" fontId="7" fillId="6" borderId="35" xfId="0" applyFont="1" applyFill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23" xfId="0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</cellXfs>
  <cellStyles count="5">
    <cellStyle name="Comma" xfId="1" builtinId="3"/>
    <cellStyle name="Hyperlink" xfId="4" builtinId="8"/>
    <cellStyle name="Normal" xfId="0" builtinId="0"/>
    <cellStyle name="Normal 2" xfId="3" xr:uid="{4FD13B92-B2E4-4AA1-9F90-7002DDE8E57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t-EE" u="sng"/>
              <a:t>Rahvaarvu graafik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Juurdekasv!$B$19</c:f>
              <c:strCache>
                <c:ptCount val="1"/>
                <c:pt idx="0">
                  <c:v>Albaania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Juurdekasv!$A$20:$A$41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Juurdekasv!$B$20:$B$41</c:f>
              <c:numCache>
                <c:formatCode>#,##0</c:formatCode>
                <c:ptCount val="22"/>
                <c:pt idx="0">
                  <c:v>3057026</c:v>
                </c:pt>
                <c:pt idx="1">
                  <c:v>3063320</c:v>
                </c:pt>
                <c:pt idx="2">
                  <c:v>3057018</c:v>
                </c:pt>
                <c:pt idx="3">
                  <c:v>3044993</c:v>
                </c:pt>
                <c:pt idx="4">
                  <c:v>3034231</c:v>
                </c:pt>
                <c:pt idx="5">
                  <c:v>3019634</c:v>
                </c:pt>
                <c:pt idx="6">
                  <c:v>3003329</c:v>
                </c:pt>
                <c:pt idx="7">
                  <c:v>2981755</c:v>
                </c:pt>
                <c:pt idx="8">
                  <c:v>2958266</c:v>
                </c:pt>
                <c:pt idx="9">
                  <c:v>2936355</c:v>
                </c:pt>
                <c:pt idx="10">
                  <c:v>2918674</c:v>
                </c:pt>
                <c:pt idx="11">
                  <c:v>2907361</c:v>
                </c:pt>
                <c:pt idx="12">
                  <c:v>2903008</c:v>
                </c:pt>
                <c:pt idx="13">
                  <c:v>2897770</c:v>
                </c:pt>
                <c:pt idx="14">
                  <c:v>2892394</c:v>
                </c:pt>
                <c:pt idx="15">
                  <c:v>2885796</c:v>
                </c:pt>
                <c:pt idx="16">
                  <c:v>2875592</c:v>
                </c:pt>
                <c:pt idx="17">
                  <c:v>2876591</c:v>
                </c:pt>
                <c:pt idx="18">
                  <c:v>2870324</c:v>
                </c:pt>
                <c:pt idx="19">
                  <c:v>2862427</c:v>
                </c:pt>
                <c:pt idx="20">
                  <c:v>2845955</c:v>
                </c:pt>
                <c:pt idx="21">
                  <c:v>2811667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C5-4107-93BB-7921AC51BE26}"/>
            </c:ext>
          </c:extLst>
        </c:ser>
        <c:ser>
          <c:idx val="2"/>
          <c:order val="1"/>
          <c:tx>
            <c:strRef>
              <c:f>Juurdekasv!$C$19</c:f>
              <c:strCache>
                <c:ptCount val="1"/>
                <c:pt idx="0">
                  <c:v>Iirimaa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Juurdekasv!$A$20:$A$41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Juurdekasv!$C$20:$C$41</c:f>
              <c:numCache>
                <c:formatCode>#,##0</c:formatCode>
                <c:ptCount val="22"/>
                <c:pt idx="0">
                  <c:v>3777565</c:v>
                </c:pt>
                <c:pt idx="1">
                  <c:v>3832783</c:v>
                </c:pt>
                <c:pt idx="2">
                  <c:v>3899702</c:v>
                </c:pt>
                <c:pt idx="3">
                  <c:v>3964191</c:v>
                </c:pt>
                <c:pt idx="4">
                  <c:v>4028851</c:v>
                </c:pt>
                <c:pt idx="5">
                  <c:v>4111672</c:v>
                </c:pt>
                <c:pt idx="6">
                  <c:v>4208156</c:v>
                </c:pt>
                <c:pt idx="7">
                  <c:v>4340118</c:v>
                </c:pt>
                <c:pt idx="8">
                  <c:v>4457765</c:v>
                </c:pt>
                <c:pt idx="9">
                  <c:v>4521322</c:v>
                </c:pt>
                <c:pt idx="10">
                  <c:v>4549428</c:v>
                </c:pt>
                <c:pt idx="11">
                  <c:v>4570881</c:v>
                </c:pt>
                <c:pt idx="12">
                  <c:v>4589287</c:v>
                </c:pt>
                <c:pt idx="13">
                  <c:v>4609779</c:v>
                </c:pt>
                <c:pt idx="14">
                  <c:v>4637852</c:v>
                </c:pt>
                <c:pt idx="15">
                  <c:v>4677627</c:v>
                </c:pt>
                <c:pt idx="16">
                  <c:v>4726286</c:v>
                </c:pt>
                <c:pt idx="17">
                  <c:v>4784383</c:v>
                </c:pt>
                <c:pt idx="18">
                  <c:v>4830392</c:v>
                </c:pt>
                <c:pt idx="19">
                  <c:v>4904240</c:v>
                </c:pt>
                <c:pt idx="20">
                  <c:v>4964440</c:v>
                </c:pt>
                <c:pt idx="21">
                  <c:v>5033165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C5-4107-93BB-7921AC51B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6149024"/>
        <c:axId val="1596151424"/>
      </c:lineChart>
      <c:lineChart>
        <c:grouping val="standard"/>
        <c:varyColors val="0"/>
        <c:ser>
          <c:idx val="3"/>
          <c:order val="2"/>
          <c:tx>
            <c:strRef>
              <c:f>Juurdekasv!$D$19</c:f>
              <c:strCache>
                <c:ptCount val="1"/>
                <c:pt idx="0">
                  <c:v>suhteline aheljuurdekasvutempo albaania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Juurdekasv!$D$20:$D$41</c:f>
              <c:numCache>
                <c:formatCode>0.00%</c:formatCode>
                <c:ptCount val="22"/>
                <c:pt idx="1">
                  <c:v>2.0588637453525091E-3</c:v>
                </c:pt>
                <c:pt idx="2">
                  <c:v>-2.0572450805008947E-3</c:v>
                </c:pt>
                <c:pt idx="3">
                  <c:v>-3.9335718664397787E-3</c:v>
                </c:pt>
                <c:pt idx="4">
                  <c:v>-3.5343266798971294E-3</c:v>
                </c:pt>
                <c:pt idx="5">
                  <c:v>-4.8107741302491468E-3</c:v>
                </c:pt>
                <c:pt idx="6">
                  <c:v>-5.3996610185207874E-3</c:v>
                </c:pt>
                <c:pt idx="7">
                  <c:v>-7.1833621957501162E-3</c:v>
                </c:pt>
                <c:pt idx="8">
                  <c:v>-7.8775754547238119E-3</c:v>
                </c:pt>
                <c:pt idx="9">
                  <c:v>-7.406703792018703E-3</c:v>
                </c:pt>
                <c:pt idx="10">
                  <c:v>-6.0214108988865447E-3</c:v>
                </c:pt>
                <c:pt idx="11">
                  <c:v>-3.8760752314235848E-3</c:v>
                </c:pt>
                <c:pt idx="12">
                  <c:v>-1.4972340896090991E-3</c:v>
                </c:pt>
                <c:pt idx="13">
                  <c:v>-1.8043353652487351E-3</c:v>
                </c:pt>
                <c:pt idx="14">
                  <c:v>-1.8552197034271182E-3</c:v>
                </c:pt>
                <c:pt idx="15">
                  <c:v>-2.2811553336094599E-3</c:v>
                </c:pt>
                <c:pt idx="16">
                  <c:v>-3.5359394773573738E-3</c:v>
                </c:pt>
                <c:pt idx="17">
                  <c:v>3.4740672529343526E-4</c:v>
                </c:pt>
                <c:pt idx="18">
                  <c:v>-2.1786204573399554E-3</c:v>
                </c:pt>
                <c:pt idx="19">
                  <c:v>-2.7512573493445338E-3</c:v>
                </c:pt>
                <c:pt idx="20">
                  <c:v>-5.7545572341233505E-3</c:v>
                </c:pt>
                <c:pt idx="21">
                  <c:v>-1.2047976865410733E-2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C5-4107-93BB-7921AC51BE26}"/>
            </c:ext>
          </c:extLst>
        </c:ser>
        <c:ser>
          <c:idx val="4"/>
          <c:order val="3"/>
          <c:tx>
            <c:strRef>
              <c:f>Juurdekasv!$E$19</c:f>
              <c:strCache>
                <c:ptCount val="1"/>
                <c:pt idx="0">
                  <c:v>suhteline aheljuurdekasvutempo Iirimaa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Juurdekasv!$E$20:$E$41</c:f>
              <c:numCache>
                <c:formatCode>0.00%</c:formatCode>
                <c:ptCount val="22"/>
                <c:pt idx="1">
                  <c:v>1.4617352712660139E-2</c:v>
                </c:pt>
                <c:pt idx="2">
                  <c:v>1.7459637031368592E-2</c:v>
                </c:pt>
                <c:pt idx="3">
                  <c:v>1.6536904614762871E-2</c:v>
                </c:pt>
                <c:pt idx="4">
                  <c:v>1.6311020331765045E-2</c:v>
                </c:pt>
                <c:pt idx="5">
                  <c:v>2.0556977659387254E-2</c:v>
                </c:pt>
                <c:pt idx="6">
                  <c:v>2.3465879574051628E-2</c:v>
                </c:pt>
                <c:pt idx="7">
                  <c:v>3.1358628339823905E-2</c:v>
                </c:pt>
                <c:pt idx="8">
                  <c:v>2.7106866679661706E-2</c:v>
                </c:pt>
                <c:pt idx="9">
                  <c:v>1.4257593210947639E-2</c:v>
                </c:pt>
                <c:pt idx="10">
                  <c:v>6.2163234558388009E-3</c:v>
                </c:pt>
                <c:pt idx="11">
                  <c:v>4.7155378654195647E-3</c:v>
                </c:pt>
                <c:pt idx="12">
                  <c:v>4.026794834518772E-3</c:v>
                </c:pt>
                <c:pt idx="13">
                  <c:v>4.4651816284316057E-3</c:v>
                </c:pt>
                <c:pt idx="14">
                  <c:v>6.089879796840586E-3</c:v>
                </c:pt>
                <c:pt idx="15">
                  <c:v>8.576168450394708E-3</c:v>
                </c:pt>
                <c:pt idx="16">
                  <c:v>1.0402496821572134E-2</c:v>
                </c:pt>
                <c:pt idx="17">
                  <c:v>1.2292315784529332E-2</c:v>
                </c:pt>
                <c:pt idx="18">
                  <c:v>9.6164960037689283E-3</c:v>
                </c:pt>
                <c:pt idx="19">
                  <c:v>1.5288200212322313E-2</c:v>
                </c:pt>
                <c:pt idx="20">
                  <c:v>1.2275092572957278E-2</c:v>
                </c:pt>
                <c:pt idx="21">
                  <c:v>1.384345464946701E-2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C5-4107-93BB-7921AC51B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1883104"/>
        <c:axId val="1591874944"/>
      </c:lineChart>
      <c:catAx>
        <c:axId val="159614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t-EE"/>
                  <a:t>Aastad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0891183263143593"/>
              <c:y val="0.84662956278868273"/>
            </c:manualLayout>
          </c:layout>
          <c:overlay val="0"/>
          <c:spPr>
            <a:noFill/>
            <a:ln w="0">
              <a:solidFill>
                <a:schemeClr val="bg1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151424"/>
        <c:crosses val="autoZero"/>
        <c:auto val="1"/>
        <c:lblAlgn val="ctr"/>
        <c:lblOffset val="100"/>
        <c:noMultiLvlLbl val="0"/>
      </c:catAx>
      <c:valAx>
        <c:axId val="159615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r>
                  <a:rPr lang="et-EE"/>
                  <a:t>Rahvaarv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149024"/>
        <c:crosses val="autoZero"/>
        <c:crossBetween val="between"/>
      </c:valAx>
      <c:valAx>
        <c:axId val="159187494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r>
                  <a:rPr lang="et-EE"/>
                  <a:t>Suhtelise</a:t>
                </a:r>
                <a:r>
                  <a:rPr lang="et-EE" baseline="0"/>
                  <a:t> aheltempo</a:t>
                </a:r>
              </a:p>
              <a:p>
                <a:pPr>
                  <a:defRPr/>
                </a:pPr>
                <a:r>
                  <a:rPr lang="et-EE" baseline="0"/>
                  <a:t> muutus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83104"/>
        <c:crosses val="max"/>
        <c:crossBetween val="between"/>
      </c:valAx>
      <c:catAx>
        <c:axId val="1591883104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majorTickMark val="out"/>
        <c:minorTickMark val="none"/>
        <c:tickLblPos val="nextTo"/>
        <c:crossAx val="15918749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20326</xdr:colOff>
      <xdr:row>13</xdr:row>
      <xdr:rowOff>155093</xdr:rowOff>
    </xdr:from>
    <xdr:to>
      <xdr:col>10</xdr:col>
      <xdr:colOff>380644</xdr:colOff>
      <xdr:row>35</xdr:row>
      <xdr:rowOff>45146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F80538-35E8-4FA3-A0D3-7515EBB4B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85F336-B1EF-4C39-8393-F02EC0221F7D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4872d142-a6b5-4bd3-8e3f-a703a666430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33FE6-894C-4E1D-8052-E9DB0FCC434C}">
  <dimension ref="B1:N118"/>
  <sheetViews>
    <sheetView topLeftCell="C1" zoomScale="49" zoomScaleNormal="85" workbookViewId="0">
      <selection activeCell="L6" sqref="L6"/>
    </sheetView>
  </sheetViews>
  <sheetFormatPr defaultRowHeight="14.4" x14ac:dyDescent="0.3"/>
  <cols>
    <col min="1" max="1" width="4.21875" customWidth="1"/>
    <col min="2" max="2" width="27.77734375" customWidth="1"/>
    <col min="3" max="3" width="8.44140625" customWidth="1"/>
    <col min="4" max="4" width="9" customWidth="1"/>
    <col min="5" max="5" width="43.21875" customWidth="1"/>
    <col min="6" max="6" width="21.44140625" customWidth="1"/>
    <col min="7" max="7" width="45.77734375" bestFit="1" customWidth="1"/>
    <col min="8" max="8" width="30.77734375" customWidth="1"/>
    <col min="9" max="9" width="18.88671875" customWidth="1"/>
    <col min="10" max="10" width="14.21875" customWidth="1"/>
    <col min="11" max="11" width="17.109375" customWidth="1"/>
    <col min="12" max="12" width="29.88671875" customWidth="1"/>
    <col min="13" max="13" width="17.21875" customWidth="1"/>
    <col min="14" max="14" width="41.44140625" customWidth="1"/>
    <col min="15" max="15" width="11.21875" bestFit="1" customWidth="1"/>
    <col min="16" max="16" width="18.5546875" bestFit="1" customWidth="1"/>
    <col min="17" max="17" width="16.21875" bestFit="1" customWidth="1"/>
    <col min="18" max="18" width="13.5546875" bestFit="1" customWidth="1"/>
    <col min="19" max="19" width="14.21875" bestFit="1" customWidth="1"/>
    <col min="20" max="20" width="7.21875" bestFit="1" customWidth="1"/>
    <col min="21" max="21" width="11.21875" bestFit="1" customWidth="1"/>
  </cols>
  <sheetData>
    <row r="1" spans="2:14" x14ac:dyDescent="0.3">
      <c r="D1" s="92" t="s">
        <v>534</v>
      </c>
      <c r="E1" s="93"/>
      <c r="F1" s="93"/>
      <c r="G1" s="94"/>
    </row>
    <row r="2" spans="2:14" x14ac:dyDescent="0.3">
      <c r="D2" s="95"/>
      <c r="E2" s="96"/>
      <c r="F2" s="96"/>
      <c r="G2" s="97"/>
    </row>
    <row r="3" spans="2:14" x14ac:dyDescent="0.3">
      <c r="D3" s="95"/>
      <c r="E3" s="96"/>
      <c r="F3" s="96"/>
      <c r="G3" s="97"/>
    </row>
    <row r="4" spans="2:14" x14ac:dyDescent="0.3">
      <c r="D4" s="95"/>
      <c r="E4" s="96"/>
      <c r="F4" s="96"/>
      <c r="G4" s="97"/>
    </row>
    <row r="5" spans="2:14" ht="15" thickBot="1" x14ac:dyDescent="0.35">
      <c r="B5" s="45"/>
      <c r="C5" s="1"/>
      <c r="D5" s="98"/>
      <c r="E5" s="99"/>
      <c r="F5" s="99"/>
      <c r="G5" s="100"/>
    </row>
    <row r="6" spans="2:14" ht="25.8" x14ac:dyDescent="0.5">
      <c r="B6" s="45"/>
      <c r="C6" s="1"/>
      <c r="D6" s="61"/>
      <c r="E6" s="61"/>
      <c r="F6" s="61"/>
      <c r="G6" s="61"/>
    </row>
    <row r="7" spans="2:14" x14ac:dyDescent="0.3">
      <c r="B7" s="54" t="s">
        <v>533</v>
      </c>
      <c r="E7" s="54" t="s">
        <v>546</v>
      </c>
    </row>
    <row r="8" spans="2:14" x14ac:dyDescent="0.3">
      <c r="B8" s="63" t="s">
        <v>543</v>
      </c>
      <c r="E8" s="63" t="s">
        <v>544</v>
      </c>
    </row>
    <row r="9" spans="2:14" x14ac:dyDescent="0.3">
      <c r="B9" s="45"/>
    </row>
    <row r="12" spans="2:14" x14ac:dyDescent="0.3">
      <c r="B12" s="45"/>
    </row>
    <row r="13" spans="2:14" x14ac:dyDescent="0.3">
      <c r="B13" s="45"/>
      <c r="F13" s="54" t="s">
        <v>527</v>
      </c>
      <c r="G13" s="54" t="s">
        <v>529</v>
      </c>
      <c r="H13" s="54" t="s">
        <v>530</v>
      </c>
      <c r="I13" s="54" t="s">
        <v>531</v>
      </c>
      <c r="J13" s="54" t="s">
        <v>532</v>
      </c>
    </row>
    <row r="14" spans="2:14" x14ac:dyDescent="0.3">
      <c r="B14" s="4"/>
      <c r="F14" s="5" t="s">
        <v>0</v>
      </c>
      <c r="G14" s="5" t="s">
        <v>27</v>
      </c>
      <c r="H14" s="5" t="s">
        <v>19</v>
      </c>
      <c r="I14" s="5" t="s">
        <v>13</v>
      </c>
      <c r="J14" s="5" t="s">
        <v>50</v>
      </c>
    </row>
    <row r="15" spans="2:14" ht="15" thickBot="1" x14ac:dyDescent="0.35">
      <c r="B15" s="4"/>
    </row>
    <row r="16" spans="2:14" ht="15" thickBot="1" x14ac:dyDescent="0.35">
      <c r="B16" s="101" t="s">
        <v>533</v>
      </c>
      <c r="C16" s="102"/>
      <c r="D16" s="102"/>
      <c r="E16" s="102"/>
      <c r="F16" s="102"/>
      <c r="G16" s="103"/>
      <c r="I16" s="101" t="s">
        <v>541</v>
      </c>
      <c r="J16" s="102"/>
      <c r="K16" s="102"/>
      <c r="L16" s="102"/>
      <c r="M16" s="102"/>
      <c r="N16" s="103"/>
    </row>
    <row r="17" spans="2:14" ht="57.6" x14ac:dyDescent="0.3">
      <c r="B17" s="59" t="s">
        <v>1</v>
      </c>
      <c r="C17" s="59" t="s">
        <v>2</v>
      </c>
      <c r="D17" s="60" t="s">
        <v>3</v>
      </c>
      <c r="E17" s="59" t="s">
        <v>4</v>
      </c>
      <c r="F17" s="59" t="s">
        <v>5</v>
      </c>
      <c r="G17" s="59" t="s">
        <v>6</v>
      </c>
      <c r="I17" s="52" t="s">
        <v>7</v>
      </c>
      <c r="J17" s="50" t="s">
        <v>8</v>
      </c>
      <c r="K17" s="53" t="s">
        <v>9</v>
      </c>
      <c r="L17" s="50" t="s">
        <v>10</v>
      </c>
      <c r="M17" s="51" t="s">
        <v>542</v>
      </c>
      <c r="N17" s="50" t="s">
        <v>11</v>
      </c>
    </row>
    <row r="18" spans="2:14" x14ac:dyDescent="0.3">
      <c r="B18" s="5" t="s">
        <v>12</v>
      </c>
      <c r="C18" s="6" t="s">
        <v>13</v>
      </c>
      <c r="D18" s="6">
        <v>1</v>
      </c>
      <c r="E18" s="5" t="s">
        <v>14</v>
      </c>
      <c r="F18" s="5" t="s">
        <v>15</v>
      </c>
      <c r="G18" s="5" t="s">
        <v>16</v>
      </c>
      <c r="I18" s="5" t="str" cm="1">
        <f t="array" ref="I18:I118">LEFT(Nimi,1) &amp; ". " &amp; RIGHT(Nimi,LEN(Nimi)-FIND(" ",Nimi))</f>
        <v>J. Aab</v>
      </c>
      <c r="J18" s="9" t="str" cm="1">
        <f t="array" ref="J18:J118">LEFT(Nimi) &amp; ". " &amp;LEFT(RIGHT(Nimi,LEN(Nimi)-FIND(" ",Nimi,1)))</f>
        <v>J. A</v>
      </c>
      <c r="K18" s="8" cm="1">
        <f t="array" ref="K18:K118">COUNTIF(eesnime_esitäht___perekonnanime_esitäht,eesnime_esitäht___perekonnanime_esitäht)</f>
        <v>1</v>
      </c>
      <c r="L18" s="8" t="str" cm="1">
        <f t="array" ref="L18:L118">IF(mitu_korda_esineb=1,eesnime_esitäht___perekonnanime_esitäht,"")</f>
        <v>J. A</v>
      </c>
      <c r="M18" s="9">
        <f>COUNTIFS(Fraktsioon,EKRE,mitu_korda_esineb,tingimus)</f>
        <v>5</v>
      </c>
      <c r="N18" s="8">
        <f>COUNTIFS(Sugu,Meessugu,Fraktsioon,REFORMIERAKOND,Komisjon,õiguskomisjon)</f>
        <v>2</v>
      </c>
    </row>
    <row r="19" spans="2:14" x14ac:dyDescent="0.3">
      <c r="B19" s="5" t="s">
        <v>17</v>
      </c>
      <c r="C19" s="6" t="s">
        <v>18</v>
      </c>
      <c r="D19" s="6">
        <v>1</v>
      </c>
      <c r="E19" s="5" t="s">
        <v>19</v>
      </c>
      <c r="F19" s="5" t="s">
        <v>20</v>
      </c>
      <c r="G19" s="5" t="s">
        <v>21</v>
      </c>
      <c r="I19" s="5" t="str">
        <v>A. Akkermann</v>
      </c>
      <c r="J19" s="9" t="str">
        <v>A. A</v>
      </c>
      <c r="K19" s="8">
        <v>3</v>
      </c>
      <c r="L19" s="8" t="str">
        <v/>
      </c>
    </row>
    <row r="20" spans="2:14" x14ac:dyDescent="0.3">
      <c r="B20" s="5" t="s">
        <v>22</v>
      </c>
      <c r="C20" s="6" t="s">
        <v>13</v>
      </c>
      <c r="D20" s="6">
        <v>0</v>
      </c>
      <c r="E20" s="5" t="s">
        <v>23</v>
      </c>
      <c r="F20" s="5" t="s">
        <v>24</v>
      </c>
      <c r="G20" s="5" t="s">
        <v>25</v>
      </c>
      <c r="I20" s="5" t="str">
        <v>A. Allas</v>
      </c>
      <c r="J20" s="9" t="str">
        <v>A. A</v>
      </c>
      <c r="K20" s="8">
        <v>3</v>
      </c>
      <c r="L20" s="8" t="str">
        <v/>
      </c>
    </row>
    <row r="21" spans="2:14" x14ac:dyDescent="0.3">
      <c r="B21" s="5" t="s">
        <v>26</v>
      </c>
      <c r="C21" s="6" t="s">
        <v>13</v>
      </c>
      <c r="D21" s="6">
        <v>0</v>
      </c>
      <c r="E21" s="5" t="s">
        <v>27</v>
      </c>
      <c r="F21" s="5"/>
      <c r="G21" s="5" t="s">
        <v>28</v>
      </c>
      <c r="I21" s="5" t="str">
        <v>A. Aller</v>
      </c>
      <c r="J21" s="9" t="str">
        <v>A. A</v>
      </c>
      <c r="K21" s="8">
        <v>3</v>
      </c>
      <c r="L21" s="8" t="str">
        <v/>
      </c>
    </row>
    <row r="22" spans="2:14" x14ac:dyDescent="0.3">
      <c r="B22" s="5" t="s">
        <v>29</v>
      </c>
      <c r="C22" s="6" t="s">
        <v>13</v>
      </c>
      <c r="D22" s="6">
        <v>0</v>
      </c>
      <c r="E22" s="5" t="s">
        <v>30</v>
      </c>
      <c r="F22" s="5" t="s">
        <v>31</v>
      </c>
      <c r="G22" s="5" t="s">
        <v>32</v>
      </c>
      <c r="I22" s="5" t="str">
        <v>V. Arhipov</v>
      </c>
      <c r="J22" s="9" t="str">
        <v>V. A</v>
      </c>
      <c r="K22" s="8">
        <v>1</v>
      </c>
      <c r="L22" s="8" t="str">
        <v>V. A</v>
      </c>
    </row>
    <row r="23" spans="2:14" x14ac:dyDescent="0.3">
      <c r="B23" s="5" t="s">
        <v>33</v>
      </c>
      <c r="C23" s="6" t="s">
        <v>13</v>
      </c>
      <c r="D23" s="6">
        <v>0</v>
      </c>
      <c r="E23" s="5" t="s">
        <v>30</v>
      </c>
      <c r="F23" s="5" t="s">
        <v>34</v>
      </c>
      <c r="G23" s="5" t="s">
        <v>35</v>
      </c>
      <c r="I23" s="5" t="str">
        <v>V. Belobrovtsev</v>
      </c>
      <c r="J23" s="9" t="str">
        <v>V. B</v>
      </c>
      <c r="K23" s="8">
        <v>1</v>
      </c>
      <c r="L23" s="8" t="str">
        <v>V. B</v>
      </c>
    </row>
    <row r="24" spans="2:14" x14ac:dyDescent="0.3">
      <c r="B24" s="5" t="s">
        <v>36</v>
      </c>
      <c r="C24" s="6" t="s">
        <v>13</v>
      </c>
      <c r="D24" s="6">
        <v>1</v>
      </c>
      <c r="E24" s="5" t="s">
        <v>14</v>
      </c>
      <c r="F24" s="5" t="s">
        <v>31</v>
      </c>
      <c r="G24" s="5" t="s">
        <v>37</v>
      </c>
      <c r="I24" s="5" t="str">
        <v>E. Eesmaa</v>
      </c>
      <c r="J24" s="9" t="str">
        <v>E. E</v>
      </c>
      <c r="K24" s="8">
        <v>1</v>
      </c>
      <c r="L24" s="8" t="str">
        <v>E. E</v>
      </c>
    </row>
    <row r="25" spans="2:14" x14ac:dyDescent="0.3">
      <c r="B25" s="5" t="s">
        <v>38</v>
      </c>
      <c r="C25" s="6" t="s">
        <v>13</v>
      </c>
      <c r="D25" s="6">
        <v>1</v>
      </c>
      <c r="E25" s="5" t="s">
        <v>27</v>
      </c>
      <c r="F25" s="5" t="s">
        <v>39</v>
      </c>
      <c r="G25" s="5" t="s">
        <v>40</v>
      </c>
      <c r="I25" s="5" t="str">
        <v>R. Epler</v>
      </c>
      <c r="J25" s="9" t="str">
        <v>R. E</v>
      </c>
      <c r="K25" s="8">
        <v>1</v>
      </c>
      <c r="L25" s="8" t="str">
        <v>R. E</v>
      </c>
    </row>
    <row r="26" spans="2:14" x14ac:dyDescent="0.3">
      <c r="B26" s="5" t="s">
        <v>41</v>
      </c>
      <c r="C26" s="6" t="s">
        <v>18</v>
      </c>
      <c r="D26" s="6">
        <v>1</v>
      </c>
      <c r="E26" s="5" t="s">
        <v>19</v>
      </c>
      <c r="F26" s="5" t="s">
        <v>42</v>
      </c>
      <c r="G26" s="5" t="s">
        <v>43</v>
      </c>
      <c r="I26" s="5" t="str">
        <v>H. Everaus</v>
      </c>
      <c r="J26" s="9" t="str">
        <v>H. E</v>
      </c>
      <c r="K26" s="8">
        <v>1</v>
      </c>
      <c r="L26" s="8" t="str">
        <v>H. E</v>
      </c>
    </row>
    <row r="27" spans="2:14" x14ac:dyDescent="0.3">
      <c r="B27" s="5" t="s">
        <v>44</v>
      </c>
      <c r="C27" s="6" t="s">
        <v>13</v>
      </c>
      <c r="D27" s="6">
        <v>0</v>
      </c>
      <c r="E27" s="5" t="s">
        <v>14</v>
      </c>
      <c r="F27" s="5" t="s">
        <v>45</v>
      </c>
      <c r="G27" s="5" t="s">
        <v>46</v>
      </c>
      <c r="I27" s="5" t="str">
        <v>A. Frosch</v>
      </c>
      <c r="J27" s="9" t="str">
        <v>A. F</v>
      </c>
      <c r="K27" s="8">
        <v>1</v>
      </c>
      <c r="L27" s="8" t="str">
        <v>A. F</v>
      </c>
    </row>
    <row r="28" spans="2:14" x14ac:dyDescent="0.3">
      <c r="B28" s="5" t="s">
        <v>47</v>
      </c>
      <c r="C28" s="6" t="s">
        <v>13</v>
      </c>
      <c r="D28" s="6">
        <v>1</v>
      </c>
      <c r="E28" s="5" t="s">
        <v>14</v>
      </c>
      <c r="F28" s="5" t="s">
        <v>42</v>
      </c>
      <c r="G28" s="5" t="s">
        <v>48</v>
      </c>
      <c r="I28" s="5" t="str">
        <v>K. Grünthal</v>
      </c>
      <c r="J28" s="9" t="str">
        <v>K. G</v>
      </c>
      <c r="K28" s="8">
        <v>1</v>
      </c>
      <c r="L28" s="8" t="str">
        <v>K. G</v>
      </c>
    </row>
    <row r="29" spans="2:14" x14ac:dyDescent="0.3">
      <c r="B29" s="5" t="s">
        <v>49</v>
      </c>
      <c r="C29" s="6" t="s">
        <v>13</v>
      </c>
      <c r="D29" s="6">
        <v>1</v>
      </c>
      <c r="E29" s="5" t="s">
        <v>14</v>
      </c>
      <c r="F29" s="5" t="s">
        <v>50</v>
      </c>
      <c r="G29" s="5" t="s">
        <v>51</v>
      </c>
      <c r="I29" s="5" t="str">
        <v>A. Hanimägi</v>
      </c>
      <c r="J29" s="9" t="str">
        <v>A. H</v>
      </c>
      <c r="K29" s="8">
        <v>2</v>
      </c>
      <c r="L29" s="8" t="str">
        <v/>
      </c>
    </row>
    <row r="30" spans="2:14" x14ac:dyDescent="0.3">
      <c r="B30" s="5" t="s">
        <v>52</v>
      </c>
      <c r="C30" s="6" t="s">
        <v>13</v>
      </c>
      <c r="D30" s="6">
        <v>1</v>
      </c>
      <c r="E30" s="5" t="s">
        <v>19</v>
      </c>
      <c r="F30" s="5" t="s">
        <v>50</v>
      </c>
      <c r="G30" s="5" t="s">
        <v>53</v>
      </c>
      <c r="I30" s="5" t="str">
        <v>A. Haugas</v>
      </c>
      <c r="J30" s="9" t="str">
        <v>A. H</v>
      </c>
      <c r="K30" s="8">
        <v>2</v>
      </c>
      <c r="L30" s="8" t="str">
        <v/>
      </c>
    </row>
    <row r="31" spans="2:14" x14ac:dyDescent="0.3">
      <c r="B31" s="5" t="s">
        <v>54</v>
      </c>
      <c r="C31" s="6" t="s">
        <v>18</v>
      </c>
      <c r="D31" s="6">
        <v>1</v>
      </c>
      <c r="E31" s="5" t="s">
        <v>27</v>
      </c>
      <c r="F31" s="5" t="s">
        <v>34</v>
      </c>
      <c r="G31" s="5" t="s">
        <v>55</v>
      </c>
      <c r="I31" s="5" t="str">
        <v>H. Helme</v>
      </c>
      <c r="J31" s="9" t="str">
        <v>H. H</v>
      </c>
      <c r="K31" s="8">
        <v>1</v>
      </c>
      <c r="L31" s="8" t="str">
        <v>H. H</v>
      </c>
    </row>
    <row r="32" spans="2:14" x14ac:dyDescent="0.3">
      <c r="B32" s="5" t="s">
        <v>56</v>
      </c>
      <c r="C32" s="6" t="s">
        <v>13</v>
      </c>
      <c r="D32" s="6">
        <v>0</v>
      </c>
      <c r="E32" s="5" t="s">
        <v>27</v>
      </c>
      <c r="F32" s="5" t="s">
        <v>57</v>
      </c>
      <c r="G32" s="5" t="s">
        <v>58</v>
      </c>
      <c r="I32" s="5" t="str">
        <v>M. Helme</v>
      </c>
      <c r="J32" s="9" t="str">
        <v>M. H</v>
      </c>
      <c r="K32" s="8">
        <v>2</v>
      </c>
      <c r="L32" s="8" t="str">
        <v/>
      </c>
    </row>
    <row r="33" spans="2:12" x14ac:dyDescent="0.3">
      <c r="B33" s="5" t="s">
        <v>59</v>
      </c>
      <c r="C33" s="6" t="s">
        <v>13</v>
      </c>
      <c r="D33" s="6">
        <v>1</v>
      </c>
      <c r="E33" s="5" t="s">
        <v>27</v>
      </c>
      <c r="F33" s="5" t="s">
        <v>20</v>
      </c>
      <c r="G33" s="5" t="s">
        <v>60</v>
      </c>
      <c r="I33" s="5" t="str">
        <v>M. Helme</v>
      </c>
      <c r="J33" s="9" t="str">
        <v>M. H</v>
      </c>
      <c r="K33" s="8">
        <v>2</v>
      </c>
      <c r="L33" s="8" t="str">
        <v/>
      </c>
    </row>
    <row r="34" spans="2:12" x14ac:dyDescent="0.3">
      <c r="B34" s="5" t="s">
        <v>61</v>
      </c>
      <c r="C34" s="6" t="s">
        <v>13</v>
      </c>
      <c r="D34" s="6">
        <v>1</v>
      </c>
      <c r="E34" s="5" t="s">
        <v>62</v>
      </c>
      <c r="F34" s="5"/>
      <c r="G34" s="5" t="s">
        <v>63</v>
      </c>
      <c r="I34" s="5" t="str">
        <v>L. Hussar</v>
      </c>
      <c r="J34" s="9" t="str">
        <v>L. H</v>
      </c>
      <c r="K34" s="8">
        <v>1</v>
      </c>
      <c r="L34" s="8" t="str">
        <v>L. H</v>
      </c>
    </row>
    <row r="35" spans="2:12" x14ac:dyDescent="0.3">
      <c r="B35" s="5" t="s">
        <v>64</v>
      </c>
      <c r="C35" s="6" t="s">
        <v>18</v>
      </c>
      <c r="D35" s="6">
        <v>1</v>
      </c>
      <c r="E35" s="5" t="s">
        <v>14</v>
      </c>
      <c r="F35" s="5" t="s">
        <v>39</v>
      </c>
      <c r="G35" s="5" t="s">
        <v>65</v>
      </c>
      <c r="I35" s="5" t="str">
        <v>Z. Izmailova</v>
      </c>
      <c r="J35" s="9" t="str">
        <v>Z. I</v>
      </c>
      <c r="K35" s="8">
        <v>1</v>
      </c>
      <c r="L35" s="8" t="str">
        <v>Z. I</v>
      </c>
    </row>
    <row r="36" spans="2:12" x14ac:dyDescent="0.3">
      <c r="B36" s="5" t="s">
        <v>66</v>
      </c>
      <c r="C36" s="6" t="s">
        <v>13</v>
      </c>
      <c r="D36" s="6">
        <v>1</v>
      </c>
      <c r="E36" s="5" t="s">
        <v>19</v>
      </c>
      <c r="F36" s="5" t="s">
        <v>39</v>
      </c>
      <c r="G36" s="5" t="s">
        <v>67</v>
      </c>
      <c r="I36" s="5" t="str">
        <v>J. Jaanson</v>
      </c>
      <c r="J36" s="9" t="str">
        <v>J. J</v>
      </c>
      <c r="K36" s="8">
        <v>1</v>
      </c>
      <c r="L36" s="8" t="str">
        <v>J. J</v>
      </c>
    </row>
    <row r="37" spans="2:12" x14ac:dyDescent="0.3">
      <c r="B37" s="5" t="s">
        <v>68</v>
      </c>
      <c r="C37" s="6" t="s">
        <v>13</v>
      </c>
      <c r="D37" s="6">
        <v>1</v>
      </c>
      <c r="E37" s="5" t="s">
        <v>30</v>
      </c>
      <c r="F37" s="5" t="s">
        <v>15</v>
      </c>
      <c r="G37" s="5" t="s">
        <v>69</v>
      </c>
      <c r="I37" s="5" t="str">
        <v>A. Jevgrafov</v>
      </c>
      <c r="J37" s="9" t="str">
        <v>A. J</v>
      </c>
      <c r="K37" s="8">
        <v>1</v>
      </c>
      <c r="L37" s="8" t="str">
        <v>A. J</v>
      </c>
    </row>
    <row r="38" spans="2:12" x14ac:dyDescent="0.3">
      <c r="B38" s="5" t="s">
        <v>70</v>
      </c>
      <c r="C38" s="6" t="s">
        <v>18</v>
      </c>
      <c r="D38" s="6">
        <v>0</v>
      </c>
      <c r="E38" s="5" t="s">
        <v>19</v>
      </c>
      <c r="F38" s="5" t="s">
        <v>42</v>
      </c>
      <c r="G38" s="5" t="s">
        <v>71</v>
      </c>
      <c r="I38" s="5" t="str">
        <v>K. Joller</v>
      </c>
      <c r="J38" s="9" t="str">
        <v>K. J</v>
      </c>
      <c r="K38" s="8">
        <v>1</v>
      </c>
      <c r="L38" s="8" t="str">
        <v>K. J</v>
      </c>
    </row>
    <row r="39" spans="2:12" x14ac:dyDescent="0.3">
      <c r="B39" s="5" t="s">
        <v>72</v>
      </c>
      <c r="C39" s="6" t="s">
        <v>18</v>
      </c>
      <c r="D39" s="6">
        <v>0</v>
      </c>
      <c r="E39" s="5" t="s">
        <v>14</v>
      </c>
      <c r="F39" s="5" t="s">
        <v>57</v>
      </c>
      <c r="G39" s="5" t="s">
        <v>73</v>
      </c>
      <c r="I39" s="5" t="str">
        <v>M. Jufereva-Skuratovski</v>
      </c>
      <c r="J39" s="9" t="str">
        <v>M. J</v>
      </c>
      <c r="K39" s="8">
        <v>1</v>
      </c>
      <c r="L39" s="8" t="str">
        <v>M. J</v>
      </c>
    </row>
    <row r="40" spans="2:12" x14ac:dyDescent="0.3">
      <c r="B40" s="5" t="s">
        <v>74</v>
      </c>
      <c r="C40" s="6" t="s">
        <v>13</v>
      </c>
      <c r="D40" s="6">
        <v>1</v>
      </c>
      <c r="E40" s="5" t="s">
        <v>19</v>
      </c>
      <c r="F40" s="5" t="s">
        <v>15</v>
      </c>
      <c r="G40" s="5" t="s">
        <v>75</v>
      </c>
      <c r="I40" s="5" t="str">
        <v>M. Kadastik</v>
      </c>
      <c r="J40" s="9" t="str">
        <v>M. K</v>
      </c>
      <c r="K40" s="8">
        <v>4</v>
      </c>
      <c r="L40" s="8" t="str">
        <v/>
      </c>
    </row>
    <row r="41" spans="2:12" x14ac:dyDescent="0.3">
      <c r="B41" s="5" t="s">
        <v>76</v>
      </c>
      <c r="C41" s="6" t="s">
        <v>13</v>
      </c>
      <c r="D41" s="6">
        <v>0</v>
      </c>
      <c r="E41" s="5" t="s">
        <v>23</v>
      </c>
      <c r="F41" s="5" t="s">
        <v>31</v>
      </c>
      <c r="G41" s="5" t="s">
        <v>77</v>
      </c>
      <c r="I41" s="5" t="str">
        <v>R. Kaljulaid</v>
      </c>
      <c r="J41" s="9" t="str">
        <v>R. K</v>
      </c>
      <c r="K41" s="8">
        <v>2</v>
      </c>
      <c r="L41" s="8" t="str">
        <v/>
      </c>
    </row>
    <row r="42" spans="2:12" x14ac:dyDescent="0.3">
      <c r="B42" s="5" t="s">
        <v>78</v>
      </c>
      <c r="C42" s="6" t="s">
        <v>13</v>
      </c>
      <c r="D42" s="6">
        <v>0</v>
      </c>
      <c r="E42" s="5" t="s">
        <v>23</v>
      </c>
      <c r="F42" s="5" t="s">
        <v>50</v>
      </c>
      <c r="G42" s="5" t="s">
        <v>79</v>
      </c>
      <c r="I42" s="5" t="str">
        <v>M. Kallas</v>
      </c>
      <c r="J42" s="9" t="str">
        <v>M. K</v>
      </c>
      <c r="K42" s="8">
        <v>4</v>
      </c>
      <c r="L42" s="8" t="str">
        <v/>
      </c>
    </row>
    <row r="43" spans="2:12" x14ac:dyDescent="0.3">
      <c r="B43" s="5" t="s">
        <v>80</v>
      </c>
      <c r="C43" s="6" t="s">
        <v>13</v>
      </c>
      <c r="D43" s="6">
        <v>0</v>
      </c>
      <c r="E43" s="5" t="s">
        <v>14</v>
      </c>
      <c r="F43" s="5" t="s">
        <v>50</v>
      </c>
      <c r="G43" s="5" t="s">
        <v>81</v>
      </c>
      <c r="I43" s="5" t="str">
        <v>J. Karilaid</v>
      </c>
      <c r="J43" s="9" t="str">
        <v>J. K</v>
      </c>
      <c r="K43" s="8">
        <v>1</v>
      </c>
      <c r="L43" s="8" t="str">
        <v>J. K</v>
      </c>
    </row>
    <row r="44" spans="2:12" x14ac:dyDescent="0.3">
      <c r="B44" s="5" t="s">
        <v>82</v>
      </c>
      <c r="C44" s="6" t="s">
        <v>18</v>
      </c>
      <c r="D44" s="6">
        <v>0</v>
      </c>
      <c r="E44" s="5" t="s">
        <v>14</v>
      </c>
      <c r="F44" s="5" t="s">
        <v>57</v>
      </c>
      <c r="G44" s="5" t="s">
        <v>83</v>
      </c>
      <c r="I44" s="5" t="str">
        <v>E. Karuse</v>
      </c>
      <c r="J44" s="9" t="str">
        <v>E. K</v>
      </c>
      <c r="K44" s="8">
        <v>2</v>
      </c>
      <c r="L44" s="8" t="str">
        <v/>
      </c>
    </row>
    <row r="45" spans="2:12" x14ac:dyDescent="0.3">
      <c r="B45" s="5" t="s">
        <v>84</v>
      </c>
      <c r="C45" s="6" t="s">
        <v>18</v>
      </c>
      <c r="D45" s="6">
        <v>0</v>
      </c>
      <c r="E45" s="5" t="s">
        <v>19</v>
      </c>
      <c r="F45" s="5" t="s">
        <v>34</v>
      </c>
      <c r="G45" s="5" t="s">
        <v>85</v>
      </c>
      <c r="I45" s="5" t="str">
        <v>L. Kersna</v>
      </c>
      <c r="J45" s="9" t="str">
        <v>L. K</v>
      </c>
      <c r="K45" s="8">
        <v>2</v>
      </c>
      <c r="L45" s="8" t="str">
        <v/>
      </c>
    </row>
    <row r="46" spans="2:12" x14ac:dyDescent="0.3">
      <c r="B46" s="5" t="s">
        <v>86</v>
      </c>
      <c r="C46" s="6" t="s">
        <v>13</v>
      </c>
      <c r="D46" s="6">
        <v>1</v>
      </c>
      <c r="E46" s="5" t="s">
        <v>14</v>
      </c>
      <c r="F46" s="5" t="s">
        <v>20</v>
      </c>
      <c r="G46" s="5" t="s">
        <v>87</v>
      </c>
      <c r="I46" s="5" t="str">
        <v>T. Kiik</v>
      </c>
      <c r="J46" s="9" t="str">
        <v>T. K</v>
      </c>
      <c r="K46" s="8">
        <v>2</v>
      </c>
      <c r="L46" s="8" t="str">
        <v/>
      </c>
    </row>
    <row r="47" spans="2:12" x14ac:dyDescent="0.3">
      <c r="B47" s="5" t="s">
        <v>88</v>
      </c>
      <c r="C47" s="6" t="s">
        <v>13</v>
      </c>
      <c r="D47" s="6">
        <v>1</v>
      </c>
      <c r="E47" s="5" t="s">
        <v>19</v>
      </c>
      <c r="F47" s="5" t="s">
        <v>31</v>
      </c>
      <c r="G47" s="5" t="s">
        <v>89</v>
      </c>
      <c r="I47" s="5" t="str">
        <v>M. Kiili</v>
      </c>
      <c r="J47" s="9" t="str">
        <v>M. K</v>
      </c>
      <c r="K47" s="8">
        <v>4</v>
      </c>
      <c r="L47" s="8" t="str">
        <v/>
      </c>
    </row>
    <row r="48" spans="2:12" x14ac:dyDescent="0.3">
      <c r="B48" s="5" t="s">
        <v>90</v>
      </c>
      <c r="C48" s="6" t="s">
        <v>18</v>
      </c>
      <c r="D48" s="6">
        <v>0</v>
      </c>
      <c r="E48" s="5" t="s">
        <v>27</v>
      </c>
      <c r="F48" s="5" t="s">
        <v>42</v>
      </c>
      <c r="G48" s="5" t="s">
        <v>91</v>
      </c>
      <c r="I48" s="5" t="str">
        <v>K. Kingo</v>
      </c>
      <c r="J48" s="9" t="str">
        <v>K. K</v>
      </c>
      <c r="K48" s="8">
        <v>2</v>
      </c>
      <c r="L48" s="8" t="str">
        <v/>
      </c>
    </row>
    <row r="49" spans="2:12" x14ac:dyDescent="0.3">
      <c r="B49" s="5" t="s">
        <v>92</v>
      </c>
      <c r="C49" s="6" t="s">
        <v>18</v>
      </c>
      <c r="D49" s="6">
        <v>1</v>
      </c>
      <c r="E49" s="5" t="s">
        <v>19</v>
      </c>
      <c r="F49" s="5" t="s">
        <v>34</v>
      </c>
      <c r="G49" s="5" t="s">
        <v>93</v>
      </c>
      <c r="I49" s="5" t="str">
        <v>S. Kivi</v>
      </c>
      <c r="J49" s="9" t="str">
        <v>S. K</v>
      </c>
      <c r="K49" s="8">
        <v>1</v>
      </c>
      <c r="L49" s="8" t="str">
        <v>S. K</v>
      </c>
    </row>
    <row r="50" spans="2:12" x14ac:dyDescent="0.3">
      <c r="B50" s="5" t="s">
        <v>94</v>
      </c>
      <c r="C50" s="6" t="s">
        <v>13</v>
      </c>
      <c r="D50" s="6">
        <v>0</v>
      </c>
      <c r="E50" s="5" t="s">
        <v>62</v>
      </c>
      <c r="F50" s="5" t="s">
        <v>50</v>
      </c>
      <c r="G50" s="5" t="s">
        <v>95</v>
      </c>
      <c r="I50" s="5" t="str">
        <v>A. Kiviberg</v>
      </c>
      <c r="J50" s="9" t="str">
        <v>A. K</v>
      </c>
      <c r="K50" s="8">
        <v>4</v>
      </c>
      <c r="L50" s="8" t="str">
        <v/>
      </c>
    </row>
    <row r="51" spans="2:12" x14ac:dyDescent="0.3">
      <c r="B51" s="5" t="s">
        <v>96</v>
      </c>
      <c r="C51" s="6" t="s">
        <v>13</v>
      </c>
      <c r="D51" s="6">
        <v>1</v>
      </c>
      <c r="E51" s="5" t="s">
        <v>19</v>
      </c>
      <c r="F51" s="5"/>
      <c r="G51" s="5" t="s">
        <v>97</v>
      </c>
      <c r="I51" s="5" t="str">
        <v>T. Kivimägi</v>
      </c>
      <c r="J51" s="9" t="str">
        <v>T. K</v>
      </c>
      <c r="K51" s="8">
        <v>2</v>
      </c>
      <c r="L51" s="8" t="str">
        <v/>
      </c>
    </row>
    <row r="52" spans="2:12" x14ac:dyDescent="0.3">
      <c r="B52" s="5" t="s">
        <v>98</v>
      </c>
      <c r="C52" s="6" t="s">
        <v>13</v>
      </c>
      <c r="D52" s="6">
        <v>1</v>
      </c>
      <c r="E52" s="5" t="s">
        <v>19</v>
      </c>
      <c r="F52" s="5" t="s">
        <v>39</v>
      </c>
      <c r="G52" s="5" t="s">
        <v>99</v>
      </c>
      <c r="I52" s="5" t="str">
        <v>M. Klaassen</v>
      </c>
      <c r="J52" s="9" t="str">
        <v>M. K</v>
      </c>
      <c r="K52" s="8">
        <v>4</v>
      </c>
      <c r="L52" s="8" t="str">
        <v/>
      </c>
    </row>
    <row r="53" spans="2:12" x14ac:dyDescent="0.3">
      <c r="B53" s="5" t="s">
        <v>100</v>
      </c>
      <c r="C53" s="6" t="s">
        <v>13</v>
      </c>
      <c r="D53" s="6">
        <v>1</v>
      </c>
      <c r="E53" s="5" t="s">
        <v>101</v>
      </c>
      <c r="F53" s="5" t="s">
        <v>20</v>
      </c>
      <c r="G53" s="5" t="s">
        <v>102</v>
      </c>
      <c r="I53" s="5" t="str">
        <v>A. Kokk</v>
      </c>
      <c r="J53" s="9" t="str">
        <v>A. K</v>
      </c>
      <c r="K53" s="8">
        <v>4</v>
      </c>
      <c r="L53" s="8" t="str">
        <v/>
      </c>
    </row>
    <row r="54" spans="2:12" x14ac:dyDescent="0.3">
      <c r="B54" s="5" t="s">
        <v>103</v>
      </c>
      <c r="C54" s="6" t="s">
        <v>13</v>
      </c>
      <c r="D54" s="6">
        <v>1</v>
      </c>
      <c r="E54" s="5" t="s">
        <v>27</v>
      </c>
      <c r="F54" s="5" t="s">
        <v>15</v>
      </c>
      <c r="G54" s="5" t="s">
        <v>104</v>
      </c>
      <c r="I54" s="5" t="str">
        <v>R. Kokk</v>
      </c>
      <c r="J54" s="9" t="str">
        <v>R. K</v>
      </c>
      <c r="K54" s="8">
        <v>2</v>
      </c>
      <c r="L54" s="8" t="str">
        <v/>
      </c>
    </row>
    <row r="55" spans="2:12" x14ac:dyDescent="0.3">
      <c r="B55" s="5" t="s">
        <v>105</v>
      </c>
      <c r="C55" s="6" t="s">
        <v>13</v>
      </c>
      <c r="D55" s="6">
        <v>0</v>
      </c>
      <c r="E55" s="5" t="s">
        <v>30</v>
      </c>
      <c r="F55" s="5" t="s">
        <v>20</v>
      </c>
      <c r="G55" s="5" t="s">
        <v>106</v>
      </c>
      <c r="I55" s="5" t="str">
        <v>A. Korobeinik</v>
      </c>
      <c r="J55" s="9" t="str">
        <v>A. K</v>
      </c>
      <c r="K55" s="8">
        <v>4</v>
      </c>
      <c r="L55" s="8" t="str">
        <v/>
      </c>
    </row>
    <row r="56" spans="2:12" x14ac:dyDescent="0.3">
      <c r="B56" s="5" t="s">
        <v>107</v>
      </c>
      <c r="C56" s="6" t="s">
        <v>18</v>
      </c>
      <c r="D56" s="6">
        <v>0</v>
      </c>
      <c r="E56" s="5" t="s">
        <v>30</v>
      </c>
      <c r="F56" s="5" t="s">
        <v>50</v>
      </c>
      <c r="G56" s="5" t="s">
        <v>108</v>
      </c>
      <c r="I56" s="5" t="str">
        <v>A. Kovalenko-Kõlvart</v>
      </c>
      <c r="J56" s="9" t="str">
        <v>A. K</v>
      </c>
      <c r="K56" s="8">
        <v>4</v>
      </c>
      <c r="L56" s="8" t="str">
        <v/>
      </c>
    </row>
    <row r="57" spans="2:12" x14ac:dyDescent="0.3">
      <c r="B57" s="5" t="s">
        <v>109</v>
      </c>
      <c r="C57" s="6" t="s">
        <v>13</v>
      </c>
      <c r="D57" s="6">
        <v>1</v>
      </c>
      <c r="E57" s="5" t="s">
        <v>19</v>
      </c>
      <c r="F57" s="5" t="s">
        <v>57</v>
      </c>
      <c r="G57" s="5" t="s">
        <v>110</v>
      </c>
      <c r="I57" s="5" t="str">
        <v>E. Kross</v>
      </c>
      <c r="J57" s="9" t="str">
        <v>E. K</v>
      </c>
      <c r="K57" s="8">
        <v>2</v>
      </c>
      <c r="L57" s="8" t="str">
        <v/>
      </c>
    </row>
    <row r="58" spans="2:12" x14ac:dyDescent="0.3">
      <c r="B58" s="5" t="s">
        <v>111</v>
      </c>
      <c r="C58" s="6" t="s">
        <v>13</v>
      </c>
      <c r="D58" s="6">
        <v>1</v>
      </c>
      <c r="E58" s="5" t="s">
        <v>19</v>
      </c>
      <c r="F58" s="5" t="s">
        <v>24</v>
      </c>
      <c r="G58" s="5" t="s">
        <v>112</v>
      </c>
      <c r="I58" s="5" t="str">
        <v>U. Kruuse</v>
      </c>
      <c r="J58" s="9" t="str">
        <v>U. K</v>
      </c>
      <c r="K58" s="8">
        <v>1</v>
      </c>
      <c r="L58" s="8" t="str">
        <v>U. K</v>
      </c>
    </row>
    <row r="59" spans="2:12" x14ac:dyDescent="0.3">
      <c r="B59" s="5" t="s">
        <v>113</v>
      </c>
      <c r="C59" s="6" t="s">
        <v>13</v>
      </c>
      <c r="D59" s="6">
        <v>0</v>
      </c>
      <c r="E59" s="5" t="s">
        <v>14</v>
      </c>
      <c r="F59" s="5" t="s">
        <v>31</v>
      </c>
      <c r="G59" s="5" t="s">
        <v>114</v>
      </c>
      <c r="I59" s="5" t="str">
        <v>L. Kunnas</v>
      </c>
      <c r="J59" s="9" t="str">
        <v>L. K</v>
      </c>
      <c r="K59" s="8">
        <v>2</v>
      </c>
      <c r="L59" s="8" t="str">
        <v/>
      </c>
    </row>
    <row r="60" spans="2:12" x14ac:dyDescent="0.3">
      <c r="B60" s="5" t="s">
        <v>115</v>
      </c>
      <c r="C60" s="6" t="s">
        <v>18</v>
      </c>
      <c r="D60" s="6">
        <v>0</v>
      </c>
      <c r="E60" s="5" t="s">
        <v>19</v>
      </c>
      <c r="F60" s="5" t="s">
        <v>45</v>
      </c>
      <c r="G60" s="5" t="s">
        <v>116</v>
      </c>
      <c r="I60" s="5" t="str">
        <v>K. Kuusemäe</v>
      </c>
      <c r="J60" s="9" t="str">
        <v>K. K</v>
      </c>
      <c r="K60" s="8">
        <v>2</v>
      </c>
      <c r="L60" s="8" t="str">
        <v/>
      </c>
    </row>
    <row r="61" spans="2:12" x14ac:dyDescent="0.3">
      <c r="B61" s="5" t="s">
        <v>117</v>
      </c>
      <c r="C61" s="6" t="s">
        <v>18</v>
      </c>
      <c r="D61" s="6">
        <v>1</v>
      </c>
      <c r="E61" s="5" t="s">
        <v>23</v>
      </c>
      <c r="F61" s="5" t="s">
        <v>42</v>
      </c>
      <c r="G61" s="5" t="s">
        <v>118</v>
      </c>
      <c r="I61" s="5" t="str">
        <v>H. Kütt</v>
      </c>
      <c r="J61" s="9" t="str">
        <v>H. K</v>
      </c>
      <c r="K61" s="8">
        <v>1</v>
      </c>
      <c r="L61" s="8" t="str">
        <v>H. K</v>
      </c>
    </row>
    <row r="62" spans="2:12" x14ac:dyDescent="0.3">
      <c r="B62" s="5" t="s">
        <v>119</v>
      </c>
      <c r="C62" s="6" t="s">
        <v>13</v>
      </c>
      <c r="D62" s="6">
        <v>1</v>
      </c>
      <c r="E62" s="5" t="s">
        <v>19</v>
      </c>
      <c r="F62" s="5" t="s">
        <v>45</v>
      </c>
      <c r="G62" s="5" t="s">
        <v>120</v>
      </c>
      <c r="I62" s="5" t="str">
        <v>K. Laanet</v>
      </c>
      <c r="J62" s="9" t="str">
        <v>K. L</v>
      </c>
      <c r="K62" s="8">
        <v>1</v>
      </c>
      <c r="L62" s="8" t="str">
        <v>K. L</v>
      </c>
    </row>
    <row r="63" spans="2:12" x14ac:dyDescent="0.3">
      <c r="B63" s="5" t="s">
        <v>121</v>
      </c>
      <c r="C63" s="6" t="s">
        <v>13</v>
      </c>
      <c r="D63" s="6">
        <v>0</v>
      </c>
      <c r="E63" s="5" t="s">
        <v>30</v>
      </c>
      <c r="F63" s="5" t="s">
        <v>39</v>
      </c>
      <c r="G63" s="5" t="s">
        <v>122</v>
      </c>
      <c r="I63" s="5" t="str">
        <v>L. Laats</v>
      </c>
      <c r="J63" s="9" t="str">
        <v>L. L</v>
      </c>
      <c r="K63" s="8">
        <v>1</v>
      </c>
      <c r="L63" s="8" t="str">
        <v>L. L</v>
      </c>
    </row>
    <row r="64" spans="2:12" x14ac:dyDescent="0.3">
      <c r="B64" s="5" t="s">
        <v>123</v>
      </c>
      <c r="C64" s="6" t="s">
        <v>18</v>
      </c>
      <c r="D64" s="6">
        <v>1</v>
      </c>
      <c r="E64" s="5" t="s">
        <v>19</v>
      </c>
      <c r="F64" s="5" t="s">
        <v>39</v>
      </c>
      <c r="G64" s="5" t="s">
        <v>124</v>
      </c>
      <c r="I64" s="5" t="str">
        <v>H. Lahe</v>
      </c>
      <c r="J64" s="9" t="str">
        <v>H. L</v>
      </c>
      <c r="K64" s="8">
        <v>1</v>
      </c>
      <c r="L64" s="8" t="str">
        <v>H. L</v>
      </c>
    </row>
    <row r="65" spans="2:12" x14ac:dyDescent="0.3">
      <c r="B65" s="5" t="s">
        <v>125</v>
      </c>
      <c r="C65" s="6" t="s">
        <v>13</v>
      </c>
      <c r="D65" s="6">
        <v>0</v>
      </c>
      <c r="E65" s="5" t="s">
        <v>14</v>
      </c>
      <c r="F65" s="5" t="s">
        <v>31</v>
      </c>
      <c r="G65" s="5" t="s">
        <v>126</v>
      </c>
      <c r="I65" s="5" t="str">
        <v>A. Laneman</v>
      </c>
      <c r="J65" s="9" t="str">
        <v>A. L</v>
      </c>
      <c r="K65" s="8">
        <v>1</v>
      </c>
      <c r="L65" s="8" t="str">
        <v>A. L</v>
      </c>
    </row>
    <row r="66" spans="2:12" x14ac:dyDescent="0.3">
      <c r="B66" s="5" t="s">
        <v>127</v>
      </c>
      <c r="C66" s="6" t="s">
        <v>18</v>
      </c>
      <c r="D66" s="6">
        <v>1</v>
      </c>
      <c r="E66" s="5" t="s">
        <v>19</v>
      </c>
      <c r="F66" s="5" t="s">
        <v>20</v>
      </c>
      <c r="G66" s="5" t="s">
        <v>128</v>
      </c>
      <c r="I66" s="5" t="str">
        <v>M. Lauri</v>
      </c>
      <c r="J66" s="9" t="str">
        <v>M. L</v>
      </c>
      <c r="K66" s="8">
        <v>2</v>
      </c>
      <c r="L66" s="8" t="str">
        <v/>
      </c>
    </row>
    <row r="67" spans="2:12" x14ac:dyDescent="0.3">
      <c r="B67" s="5" t="s">
        <v>129</v>
      </c>
      <c r="C67" s="6" t="s">
        <v>13</v>
      </c>
      <c r="D67" s="6">
        <v>0</v>
      </c>
      <c r="E67" s="5" t="s">
        <v>19</v>
      </c>
      <c r="F67" s="5" t="s">
        <v>15</v>
      </c>
      <c r="G67" s="5" t="s">
        <v>130</v>
      </c>
      <c r="I67" s="5" t="str">
        <v>M. Lees</v>
      </c>
      <c r="J67" s="9" t="str">
        <v>M. L</v>
      </c>
      <c r="K67" s="8">
        <v>2</v>
      </c>
      <c r="L67" s="8" t="str">
        <v/>
      </c>
    </row>
    <row r="68" spans="2:12" x14ac:dyDescent="0.3">
      <c r="B68" s="5" t="s">
        <v>131</v>
      </c>
      <c r="C68" s="6" t="s">
        <v>13</v>
      </c>
      <c r="D68" s="6">
        <v>0</v>
      </c>
      <c r="E68" s="5" t="s">
        <v>23</v>
      </c>
      <c r="F68" s="5" t="s">
        <v>20</v>
      </c>
      <c r="G68" s="5" t="s">
        <v>132</v>
      </c>
      <c r="I68" s="5" t="str">
        <v>P. Lomp</v>
      </c>
      <c r="J68" s="9" t="str">
        <v>P. L</v>
      </c>
      <c r="K68" s="8">
        <v>1</v>
      </c>
      <c r="L68" s="8" t="str">
        <v>P. L</v>
      </c>
    </row>
    <row r="69" spans="2:12" x14ac:dyDescent="0.3">
      <c r="B69" s="5" t="s">
        <v>133</v>
      </c>
      <c r="C69" s="6" t="s">
        <v>13</v>
      </c>
      <c r="D69" s="6">
        <v>0</v>
      </c>
      <c r="E69" s="5" t="s">
        <v>101</v>
      </c>
      <c r="F69" s="5" t="s">
        <v>34</v>
      </c>
      <c r="G69" s="5" t="s">
        <v>134</v>
      </c>
      <c r="I69" s="5" t="str">
        <v>T. Lukas</v>
      </c>
      <c r="J69" s="9" t="str">
        <v>T. L</v>
      </c>
      <c r="K69" s="8">
        <v>1</v>
      </c>
      <c r="L69" s="8" t="str">
        <v>T. L</v>
      </c>
    </row>
    <row r="70" spans="2:12" x14ac:dyDescent="0.3">
      <c r="B70" s="5" t="s">
        <v>135</v>
      </c>
      <c r="C70" s="6" t="s">
        <v>18</v>
      </c>
      <c r="D70" s="6">
        <v>0</v>
      </c>
      <c r="E70" s="5" t="s">
        <v>62</v>
      </c>
      <c r="F70" s="5" t="s">
        <v>42</v>
      </c>
      <c r="G70" s="5" t="s">
        <v>136</v>
      </c>
      <c r="I70" s="5" t="str">
        <v>I. Lutsar</v>
      </c>
      <c r="J70" s="9" t="str">
        <v>I. L</v>
      </c>
      <c r="K70" s="8">
        <v>1</v>
      </c>
      <c r="L70" s="8" t="str">
        <v>I. L</v>
      </c>
    </row>
    <row r="71" spans="2:12" x14ac:dyDescent="0.3">
      <c r="B71" s="5" t="s">
        <v>137</v>
      </c>
      <c r="C71" s="6" t="s">
        <v>13</v>
      </c>
      <c r="D71" s="6">
        <v>0</v>
      </c>
      <c r="E71" s="5" t="s">
        <v>101</v>
      </c>
      <c r="F71" s="5" t="s">
        <v>15</v>
      </c>
      <c r="G71" s="5" t="s">
        <v>138</v>
      </c>
      <c r="I71" s="5" t="str">
        <v>M. Maastik</v>
      </c>
      <c r="J71" s="9" t="str">
        <v>M. M</v>
      </c>
      <c r="K71" s="8">
        <v>2</v>
      </c>
      <c r="L71" s="8" t="str">
        <v/>
      </c>
    </row>
    <row r="72" spans="2:12" x14ac:dyDescent="0.3">
      <c r="B72" s="5" t="s">
        <v>139</v>
      </c>
      <c r="C72" s="6" t="s">
        <v>13</v>
      </c>
      <c r="D72" s="6">
        <v>0</v>
      </c>
      <c r="E72" s="5" t="s">
        <v>23</v>
      </c>
      <c r="F72" s="5" t="s">
        <v>39</v>
      </c>
      <c r="G72" s="5" t="s">
        <v>140</v>
      </c>
      <c r="I72" s="5" t="str">
        <v>T. Maran</v>
      </c>
      <c r="J72" s="9" t="str">
        <v>T. M</v>
      </c>
      <c r="K72" s="8">
        <v>2</v>
      </c>
      <c r="L72" s="8" t="str">
        <v/>
      </c>
    </row>
    <row r="73" spans="2:12" x14ac:dyDescent="0.3">
      <c r="B73" s="5" t="s">
        <v>141</v>
      </c>
      <c r="C73" s="6" t="s">
        <v>13</v>
      </c>
      <c r="D73" s="6">
        <v>0</v>
      </c>
      <c r="E73" s="5" t="s">
        <v>19</v>
      </c>
      <c r="F73" s="5" t="s">
        <v>42</v>
      </c>
      <c r="G73" s="5" t="s">
        <v>142</v>
      </c>
      <c r="I73" s="5" t="str">
        <v>E. Merilind</v>
      </c>
      <c r="J73" s="9" t="str">
        <v>E. M</v>
      </c>
      <c r="K73" s="8">
        <v>1</v>
      </c>
      <c r="L73" s="8" t="str">
        <v>E. M</v>
      </c>
    </row>
    <row r="74" spans="2:12" x14ac:dyDescent="0.3">
      <c r="B74" s="5" t="s">
        <v>143</v>
      </c>
      <c r="C74" s="6" t="s">
        <v>13</v>
      </c>
      <c r="D74" s="6">
        <v>0</v>
      </c>
      <c r="E74" s="5" t="s">
        <v>101</v>
      </c>
      <c r="F74" s="5" t="s">
        <v>39</v>
      </c>
      <c r="G74" s="5" t="s">
        <v>144</v>
      </c>
      <c r="I74" s="5" t="str">
        <v>A. Metsoja</v>
      </c>
      <c r="J74" s="9" t="str">
        <v>A. M</v>
      </c>
      <c r="K74" s="8">
        <v>1</v>
      </c>
      <c r="L74" s="8" t="str">
        <v>A. M</v>
      </c>
    </row>
    <row r="75" spans="2:12" x14ac:dyDescent="0.3">
      <c r="B75" s="5" t="s">
        <v>145</v>
      </c>
      <c r="C75" s="6" t="s">
        <v>13</v>
      </c>
      <c r="D75" s="6">
        <v>0</v>
      </c>
      <c r="E75" s="5" t="s">
        <v>19</v>
      </c>
      <c r="F75" s="5" t="s">
        <v>57</v>
      </c>
      <c r="G75" s="5" t="s">
        <v>146</v>
      </c>
      <c r="I75" s="5" t="str">
        <v>M. Mihkelson</v>
      </c>
      <c r="J75" s="9" t="str">
        <v>M. M</v>
      </c>
      <c r="K75" s="8">
        <v>2</v>
      </c>
      <c r="L75" s="8" t="str">
        <v/>
      </c>
    </row>
    <row r="76" spans="2:12" x14ac:dyDescent="0.3">
      <c r="B76" s="5" t="s">
        <v>147</v>
      </c>
      <c r="C76" s="6" t="s">
        <v>13</v>
      </c>
      <c r="D76" s="6">
        <v>0</v>
      </c>
      <c r="E76" s="5" t="s">
        <v>14</v>
      </c>
      <c r="F76" s="5" t="s">
        <v>15</v>
      </c>
      <c r="G76" s="5" t="s">
        <v>148</v>
      </c>
      <c r="I76" s="5" t="str">
        <v>T. Mölder</v>
      </c>
      <c r="J76" s="9" t="str">
        <v>T. M</v>
      </c>
      <c r="K76" s="8">
        <v>2</v>
      </c>
      <c r="L76" s="8" t="str">
        <v/>
      </c>
    </row>
    <row r="77" spans="2:12" x14ac:dyDescent="0.3">
      <c r="B77" s="5" t="s">
        <v>149</v>
      </c>
      <c r="C77" s="6" t="s">
        <v>13</v>
      </c>
      <c r="D77" s="6">
        <v>0</v>
      </c>
      <c r="E77" s="5" t="s">
        <v>23</v>
      </c>
      <c r="F77" s="5" t="s">
        <v>45</v>
      </c>
      <c r="G77" s="5" t="s">
        <v>150</v>
      </c>
      <c r="I77" s="5" t="str">
        <v>E. Odinets</v>
      </c>
      <c r="J77" s="9" t="str">
        <v>E. O</v>
      </c>
      <c r="K77" s="8">
        <v>1</v>
      </c>
      <c r="L77" s="8" t="str">
        <v>E. O</v>
      </c>
    </row>
    <row r="78" spans="2:12" x14ac:dyDescent="0.3">
      <c r="B78" s="5" t="s">
        <v>151</v>
      </c>
      <c r="C78" s="6" t="s">
        <v>18</v>
      </c>
      <c r="D78" s="6">
        <v>0</v>
      </c>
      <c r="E78" s="5" t="s">
        <v>23</v>
      </c>
      <c r="F78" s="5" t="s">
        <v>34</v>
      </c>
      <c r="G78" s="5" t="s">
        <v>152</v>
      </c>
      <c r="I78" s="5" t="str">
        <v>H. Pikhof</v>
      </c>
      <c r="J78" s="9" t="str">
        <v>H. P</v>
      </c>
      <c r="K78" s="8">
        <v>2</v>
      </c>
      <c r="L78" s="8" t="str">
        <v/>
      </c>
    </row>
    <row r="79" spans="2:12" x14ac:dyDescent="0.3">
      <c r="B79" s="5" t="s">
        <v>153</v>
      </c>
      <c r="C79" s="6" t="s">
        <v>18</v>
      </c>
      <c r="D79" s="6">
        <v>0</v>
      </c>
      <c r="E79" s="5" t="s">
        <v>19</v>
      </c>
      <c r="F79" s="5" t="s">
        <v>50</v>
      </c>
      <c r="G79" s="5" t="s">
        <v>154</v>
      </c>
      <c r="I79" s="5" t="str">
        <v>Õ. Pillak</v>
      </c>
      <c r="J79" s="9" t="str">
        <v>Õ. P</v>
      </c>
      <c r="K79" s="8">
        <v>1</v>
      </c>
      <c r="L79" s="8" t="str">
        <v>Õ. P</v>
      </c>
    </row>
    <row r="80" spans="2:12" x14ac:dyDescent="0.3">
      <c r="B80" s="5" t="s">
        <v>155</v>
      </c>
      <c r="C80" s="6" t="s">
        <v>13</v>
      </c>
      <c r="D80" s="6">
        <v>0</v>
      </c>
      <c r="E80" s="5" t="s">
        <v>27</v>
      </c>
      <c r="F80" s="5" t="s">
        <v>24</v>
      </c>
      <c r="G80" s="5" t="s">
        <v>156</v>
      </c>
      <c r="I80" s="5" t="str">
        <v>S. Pohlak</v>
      </c>
      <c r="J80" s="9" t="str">
        <v>S. P</v>
      </c>
      <c r="K80" s="8">
        <v>1</v>
      </c>
      <c r="L80" s="8" t="str">
        <v>S. P</v>
      </c>
    </row>
    <row r="81" spans="2:12" x14ac:dyDescent="0.3">
      <c r="B81" s="5" t="s">
        <v>157</v>
      </c>
      <c r="C81" s="6" t="s">
        <v>13</v>
      </c>
      <c r="D81" s="6">
        <v>0</v>
      </c>
      <c r="E81" s="5" t="s">
        <v>27</v>
      </c>
      <c r="F81" s="5" t="s">
        <v>31</v>
      </c>
      <c r="G81" s="5" t="s">
        <v>158</v>
      </c>
      <c r="I81" s="5" t="str">
        <v>A. Poolamets</v>
      </c>
      <c r="J81" s="9" t="str">
        <v>A. P</v>
      </c>
      <c r="K81" s="8">
        <v>1</v>
      </c>
      <c r="L81" s="8" t="str">
        <v>A. P</v>
      </c>
    </row>
    <row r="82" spans="2:12" x14ac:dyDescent="0.3">
      <c r="B82" s="5" t="s">
        <v>159</v>
      </c>
      <c r="C82" s="6" t="s">
        <v>18</v>
      </c>
      <c r="D82" s="6">
        <v>0</v>
      </c>
      <c r="E82" s="5" t="s">
        <v>27</v>
      </c>
      <c r="F82" s="5" t="s">
        <v>45</v>
      </c>
      <c r="G82" s="5" t="s">
        <v>160</v>
      </c>
      <c r="I82" s="5" t="str">
        <v>E. Poolamets</v>
      </c>
      <c r="J82" s="9" t="str">
        <v>E. P</v>
      </c>
      <c r="K82" s="8">
        <v>1</v>
      </c>
      <c r="L82" s="8" t="str">
        <v>E. P</v>
      </c>
    </row>
    <row r="83" spans="2:12" x14ac:dyDescent="0.3">
      <c r="B83" s="5" t="s">
        <v>161</v>
      </c>
      <c r="C83" s="6" t="s">
        <v>13</v>
      </c>
      <c r="D83" s="6">
        <v>0</v>
      </c>
      <c r="E83" s="5" t="s">
        <v>14</v>
      </c>
      <c r="F83" s="5" t="s">
        <v>57</v>
      </c>
      <c r="G83" s="5" t="s">
        <v>162</v>
      </c>
      <c r="I83" s="5" t="str">
        <v>H. Põlluaas</v>
      </c>
      <c r="J83" s="9" t="str">
        <v>H. P</v>
      </c>
      <c r="K83" s="8">
        <v>2</v>
      </c>
      <c r="L83" s="8" t="str">
        <v/>
      </c>
    </row>
    <row r="84" spans="2:12" x14ac:dyDescent="0.3">
      <c r="B84" s="5" t="s">
        <v>163</v>
      </c>
      <c r="C84" s="6" t="s">
        <v>13</v>
      </c>
      <c r="D84" s="6">
        <v>0</v>
      </c>
      <c r="E84" s="5" t="s">
        <v>62</v>
      </c>
      <c r="F84" s="5" t="s">
        <v>57</v>
      </c>
      <c r="G84" s="5" t="s">
        <v>164</v>
      </c>
      <c r="I84" s="5" t="str">
        <v>J. Raid</v>
      </c>
      <c r="J84" s="9" t="str">
        <v>J. R</v>
      </c>
      <c r="K84" s="8">
        <v>1</v>
      </c>
      <c r="L84" s="8" t="str">
        <v>J. R</v>
      </c>
    </row>
    <row r="85" spans="2:12" x14ac:dyDescent="0.3">
      <c r="B85" s="5" t="s">
        <v>165</v>
      </c>
      <c r="C85" s="6" t="s">
        <v>13</v>
      </c>
      <c r="D85" s="6">
        <v>0</v>
      </c>
      <c r="E85" s="5" t="s">
        <v>19</v>
      </c>
      <c r="F85" s="5" t="s">
        <v>31</v>
      </c>
      <c r="G85" s="5" t="s">
        <v>166</v>
      </c>
      <c r="I85" s="5" t="str">
        <v>M. Raidma</v>
      </c>
      <c r="J85" s="9" t="str">
        <v>M. R</v>
      </c>
      <c r="K85" s="8">
        <v>3</v>
      </c>
      <c r="L85" s="8" t="str">
        <v/>
      </c>
    </row>
    <row r="86" spans="2:12" x14ac:dyDescent="0.3">
      <c r="B86" s="5" t="s">
        <v>167</v>
      </c>
      <c r="C86" s="6" t="s">
        <v>18</v>
      </c>
      <c r="D86" s="6">
        <v>0</v>
      </c>
      <c r="E86" s="5" t="s">
        <v>23</v>
      </c>
      <c r="F86" s="5" t="s">
        <v>15</v>
      </c>
      <c r="G86" s="5" t="s">
        <v>168</v>
      </c>
      <c r="I86" s="5" t="str">
        <v>R. Rand</v>
      </c>
      <c r="J86" s="9" t="str">
        <v>R. R</v>
      </c>
      <c r="K86" s="8">
        <v>1</v>
      </c>
      <c r="L86" s="8" t="str">
        <v>R. R</v>
      </c>
    </row>
    <row r="87" spans="2:12" x14ac:dyDescent="0.3">
      <c r="B87" s="5" t="s">
        <v>169</v>
      </c>
      <c r="C87" s="6" t="s">
        <v>13</v>
      </c>
      <c r="D87" s="6">
        <v>0</v>
      </c>
      <c r="E87" s="5" t="s">
        <v>19</v>
      </c>
      <c r="F87" s="5" t="s">
        <v>50</v>
      </c>
      <c r="G87" s="5" t="s">
        <v>170</v>
      </c>
      <c r="I87" s="5" t="str">
        <v>V. Randpere</v>
      </c>
      <c r="J87" s="9" t="str">
        <v>V. R</v>
      </c>
      <c r="K87" s="8">
        <v>1</v>
      </c>
      <c r="L87" s="8" t="str">
        <v>V. R</v>
      </c>
    </row>
    <row r="88" spans="2:12" x14ac:dyDescent="0.3">
      <c r="B88" s="5" t="s">
        <v>171</v>
      </c>
      <c r="C88" s="6" t="s">
        <v>13</v>
      </c>
      <c r="D88" s="6">
        <v>0</v>
      </c>
      <c r="E88" s="5" t="s">
        <v>62</v>
      </c>
      <c r="F88" s="5" t="s">
        <v>20</v>
      </c>
      <c r="G88" s="5" t="s">
        <v>172</v>
      </c>
      <c r="I88" s="5" t="str">
        <v>M. Reinaas</v>
      </c>
      <c r="J88" s="9" t="str">
        <v>M. R</v>
      </c>
      <c r="K88" s="8">
        <v>3</v>
      </c>
      <c r="L88" s="8" t="str">
        <v/>
      </c>
    </row>
    <row r="89" spans="2:12" x14ac:dyDescent="0.3">
      <c r="B89" s="5" t="s">
        <v>173</v>
      </c>
      <c r="C89" s="6" t="s">
        <v>13</v>
      </c>
      <c r="D89" s="6">
        <v>0</v>
      </c>
      <c r="E89" s="5" t="s">
        <v>101</v>
      </c>
      <c r="F89" s="5" t="s">
        <v>57</v>
      </c>
      <c r="G89" s="5" t="s">
        <v>174</v>
      </c>
      <c r="I89" s="5" t="str">
        <v>U. Reinsalu</v>
      </c>
      <c r="J89" s="9" t="str">
        <v>U. R</v>
      </c>
      <c r="K89" s="8">
        <v>1</v>
      </c>
      <c r="L89" s="8" t="str">
        <v>U. R</v>
      </c>
    </row>
    <row r="90" spans="2:12" x14ac:dyDescent="0.3">
      <c r="B90" s="5" t="s">
        <v>175</v>
      </c>
      <c r="C90" s="6" t="s">
        <v>13</v>
      </c>
      <c r="D90" s="6">
        <v>0</v>
      </c>
      <c r="E90" s="5" t="s">
        <v>19</v>
      </c>
      <c r="F90" s="5" t="s">
        <v>24</v>
      </c>
      <c r="G90" s="5" t="s">
        <v>176</v>
      </c>
      <c r="I90" s="5" t="str">
        <v>M. Ruusmann</v>
      </c>
      <c r="J90" s="9" t="str">
        <v>M. R</v>
      </c>
      <c r="K90" s="8">
        <v>3</v>
      </c>
      <c r="L90" s="8" t="str">
        <v/>
      </c>
    </row>
    <row r="91" spans="2:12" x14ac:dyDescent="0.3">
      <c r="B91" s="5" t="s">
        <v>177</v>
      </c>
      <c r="C91" s="6" t="s">
        <v>18</v>
      </c>
      <c r="D91" s="6">
        <v>0</v>
      </c>
      <c r="E91" s="5" t="s">
        <v>19</v>
      </c>
      <c r="F91" s="5" t="s">
        <v>57</v>
      </c>
      <c r="G91" s="5" t="s">
        <v>178</v>
      </c>
      <c r="I91" s="5" t="str">
        <v>L. Rõivas</v>
      </c>
      <c r="J91" s="9" t="str">
        <v>L. R</v>
      </c>
      <c r="K91" s="8">
        <v>1</v>
      </c>
      <c r="L91" s="8" t="str">
        <v>L. R</v>
      </c>
    </row>
    <row r="92" spans="2:12" x14ac:dyDescent="0.3">
      <c r="B92" s="5" t="s">
        <v>179</v>
      </c>
      <c r="C92" s="6" t="s">
        <v>18</v>
      </c>
      <c r="D92" s="6">
        <v>0</v>
      </c>
      <c r="E92" s="5" t="s">
        <v>14</v>
      </c>
      <c r="F92" s="5" t="s">
        <v>20</v>
      </c>
      <c r="G92" s="5" t="s">
        <v>180</v>
      </c>
      <c r="I92" s="5" t="str">
        <v>K. Sarapuu</v>
      </c>
      <c r="J92" s="9" t="str">
        <v>K. S</v>
      </c>
      <c r="K92" s="8">
        <v>2</v>
      </c>
      <c r="L92" s="8" t="str">
        <v/>
      </c>
    </row>
    <row r="93" spans="2:12" x14ac:dyDescent="0.3">
      <c r="B93" s="5" t="s">
        <v>181</v>
      </c>
      <c r="C93" s="6" t="s">
        <v>13</v>
      </c>
      <c r="D93" s="6">
        <v>0</v>
      </c>
      <c r="E93" s="5" t="s">
        <v>101</v>
      </c>
      <c r="F93" s="5" t="s">
        <v>45</v>
      </c>
      <c r="G93" s="5" t="s">
        <v>182</v>
      </c>
      <c r="I93" s="5" t="str">
        <v>H. Seeder</v>
      </c>
      <c r="J93" s="9" t="str">
        <v>H. S</v>
      </c>
      <c r="K93" s="8">
        <v>1</v>
      </c>
      <c r="L93" s="8" t="str">
        <v>H. S</v>
      </c>
    </row>
    <row r="94" spans="2:12" x14ac:dyDescent="0.3">
      <c r="B94" s="5" t="s">
        <v>183</v>
      </c>
      <c r="C94" s="6" t="s">
        <v>13</v>
      </c>
      <c r="D94" s="6">
        <v>0</v>
      </c>
      <c r="E94" s="5" t="s">
        <v>19</v>
      </c>
      <c r="F94" s="5" t="s">
        <v>24</v>
      </c>
      <c r="G94" s="5" t="s">
        <v>184</v>
      </c>
      <c r="I94" s="5" t="str">
        <v>A. Seeme</v>
      </c>
      <c r="J94" s="9" t="str">
        <v>A. S</v>
      </c>
      <c r="K94" s="8">
        <v>3</v>
      </c>
      <c r="L94" s="8" t="str">
        <v/>
      </c>
    </row>
    <row r="95" spans="2:12" x14ac:dyDescent="0.3">
      <c r="B95" s="5" t="s">
        <v>185</v>
      </c>
      <c r="C95" s="6" t="s">
        <v>13</v>
      </c>
      <c r="D95" s="6">
        <v>0</v>
      </c>
      <c r="E95" s="5" t="s">
        <v>101</v>
      </c>
      <c r="F95" s="5" t="s">
        <v>31</v>
      </c>
      <c r="G95" s="5" t="s">
        <v>186</v>
      </c>
      <c r="I95" s="5" t="str">
        <v>P. Sibul</v>
      </c>
      <c r="J95" s="9" t="str">
        <v>P. S</v>
      </c>
      <c r="K95" s="8">
        <v>2</v>
      </c>
      <c r="L95" s="8" t="str">
        <v/>
      </c>
    </row>
    <row r="96" spans="2:12" x14ac:dyDescent="0.3">
      <c r="B96" s="5" t="s">
        <v>187</v>
      </c>
      <c r="C96" s="6" t="s">
        <v>18</v>
      </c>
      <c r="D96" s="6">
        <v>0</v>
      </c>
      <c r="E96" s="5" t="s">
        <v>19</v>
      </c>
      <c r="F96" s="5" t="s">
        <v>45</v>
      </c>
      <c r="G96" s="5" t="s">
        <v>188</v>
      </c>
      <c r="I96" s="5" t="str">
        <v>P. Siemann</v>
      </c>
      <c r="J96" s="9" t="str">
        <v>P. S</v>
      </c>
      <c r="K96" s="8">
        <v>2</v>
      </c>
      <c r="L96" s="8" t="str">
        <v/>
      </c>
    </row>
    <row r="97" spans="2:12" x14ac:dyDescent="0.3">
      <c r="B97" s="5" t="s">
        <v>189</v>
      </c>
      <c r="C97" s="6" t="s">
        <v>18</v>
      </c>
      <c r="D97" s="6">
        <v>0</v>
      </c>
      <c r="E97" s="5" t="s">
        <v>101</v>
      </c>
      <c r="F97" s="5" t="s">
        <v>42</v>
      </c>
      <c r="G97" s="5" t="s">
        <v>190</v>
      </c>
      <c r="I97" s="5" t="str">
        <v>R. Solman</v>
      </c>
      <c r="J97" s="9" t="str">
        <v>R. S</v>
      </c>
      <c r="K97" s="8">
        <v>1</v>
      </c>
      <c r="L97" s="8" t="str">
        <v>R. S</v>
      </c>
    </row>
    <row r="98" spans="2:12" x14ac:dyDescent="0.3">
      <c r="B98" s="5" t="s">
        <v>191</v>
      </c>
      <c r="C98" s="6" t="s">
        <v>13</v>
      </c>
      <c r="D98" s="6">
        <v>0</v>
      </c>
      <c r="E98" s="5" t="s">
        <v>62</v>
      </c>
      <c r="F98" s="5" t="s">
        <v>31</v>
      </c>
      <c r="G98" s="5" t="s">
        <v>192</v>
      </c>
      <c r="I98" s="5" t="str">
        <v>K. Stoicescu</v>
      </c>
      <c r="J98" s="9" t="str">
        <v>K. S</v>
      </c>
      <c r="K98" s="8">
        <v>2</v>
      </c>
      <c r="L98" s="8" t="str">
        <v/>
      </c>
    </row>
    <row r="99" spans="2:12" x14ac:dyDescent="0.3">
      <c r="B99" s="5" t="s">
        <v>193</v>
      </c>
      <c r="C99" s="6" t="s">
        <v>13</v>
      </c>
      <c r="D99" s="6">
        <v>0</v>
      </c>
      <c r="E99" s="5" t="s">
        <v>19</v>
      </c>
      <c r="F99" s="5" t="s">
        <v>45</v>
      </c>
      <c r="G99" s="5" t="s">
        <v>194</v>
      </c>
      <c r="I99" s="5" t="str">
        <v>T. Suslov</v>
      </c>
      <c r="J99" s="9" t="str">
        <v>T. S</v>
      </c>
      <c r="K99" s="8">
        <v>1</v>
      </c>
      <c r="L99" s="8" t="str">
        <v>T. S</v>
      </c>
    </row>
    <row r="100" spans="2:12" x14ac:dyDescent="0.3">
      <c r="B100" s="5" t="s">
        <v>195</v>
      </c>
      <c r="C100" s="6" t="s">
        <v>18</v>
      </c>
      <c r="D100" s="6">
        <v>0</v>
      </c>
      <c r="E100" s="5" t="s">
        <v>19</v>
      </c>
      <c r="F100" s="5" t="s">
        <v>34</v>
      </c>
      <c r="G100" s="5" t="s">
        <v>196</v>
      </c>
      <c r="I100" s="5" t="str">
        <v>M. Sutrop</v>
      </c>
      <c r="J100" s="9" t="str">
        <v>M. S</v>
      </c>
      <c r="K100" s="8">
        <v>1</v>
      </c>
      <c r="L100" s="8" t="str">
        <v>M. S</v>
      </c>
    </row>
    <row r="101" spans="2:12" x14ac:dyDescent="0.3">
      <c r="B101" s="5" t="s">
        <v>197</v>
      </c>
      <c r="C101" s="6" t="s">
        <v>13</v>
      </c>
      <c r="D101" s="6">
        <v>0</v>
      </c>
      <c r="E101" s="5" t="s">
        <v>19</v>
      </c>
      <c r="F101" s="5" t="s">
        <v>15</v>
      </c>
      <c r="G101" s="5" t="s">
        <v>198</v>
      </c>
      <c r="I101" s="5" t="str">
        <v>A. Sutt</v>
      </c>
      <c r="J101" s="9" t="str">
        <v>A. S</v>
      </c>
      <c r="K101" s="8">
        <v>3</v>
      </c>
      <c r="L101" s="8" t="str">
        <v/>
      </c>
    </row>
    <row r="102" spans="2:12" x14ac:dyDescent="0.3">
      <c r="B102" s="5" t="s">
        <v>199</v>
      </c>
      <c r="C102" s="6" t="s">
        <v>13</v>
      </c>
      <c r="D102" s="6">
        <v>0</v>
      </c>
      <c r="E102" s="5" t="s">
        <v>19</v>
      </c>
      <c r="F102" s="5" t="s">
        <v>20</v>
      </c>
      <c r="G102" s="5" t="s">
        <v>200</v>
      </c>
      <c r="I102" s="5" t="str">
        <v>A. Sõerd</v>
      </c>
      <c r="J102" s="9" t="str">
        <v>A. S</v>
      </c>
      <c r="K102" s="8">
        <v>3</v>
      </c>
      <c r="L102" s="8" t="str">
        <v/>
      </c>
    </row>
    <row r="103" spans="2:12" x14ac:dyDescent="0.3">
      <c r="B103" s="5" t="s">
        <v>201</v>
      </c>
      <c r="C103" s="6" t="s">
        <v>18</v>
      </c>
      <c r="D103" s="6">
        <v>0</v>
      </c>
      <c r="E103" s="5" t="s">
        <v>19</v>
      </c>
      <c r="F103" s="5" t="s">
        <v>15</v>
      </c>
      <c r="G103" s="5" t="s">
        <v>202</v>
      </c>
      <c r="I103" s="5" t="str">
        <v>K. Šmigun-Vähi</v>
      </c>
      <c r="J103" s="9" t="str">
        <v>K. Š</v>
      </c>
      <c r="K103" s="8">
        <v>1</v>
      </c>
      <c r="L103" s="8" t="str">
        <v>K. Š</v>
      </c>
    </row>
    <row r="104" spans="2:12" x14ac:dyDescent="0.3">
      <c r="B104" s="5" t="s">
        <v>203</v>
      </c>
      <c r="C104" s="6" t="s">
        <v>18</v>
      </c>
      <c r="D104" s="6">
        <v>0</v>
      </c>
      <c r="E104" s="5" t="s">
        <v>62</v>
      </c>
      <c r="F104" s="5" t="s">
        <v>34</v>
      </c>
      <c r="G104" s="5" t="s">
        <v>204</v>
      </c>
      <c r="I104" s="5" t="str">
        <v>K. Tali</v>
      </c>
      <c r="J104" s="9" t="str">
        <v>K. T</v>
      </c>
      <c r="K104" s="8">
        <v>1</v>
      </c>
      <c r="L104" s="8" t="str">
        <v>K. T</v>
      </c>
    </row>
    <row r="105" spans="2:12" x14ac:dyDescent="0.3">
      <c r="B105" s="5" t="s">
        <v>205</v>
      </c>
      <c r="C105" s="6" t="s">
        <v>13</v>
      </c>
      <c r="D105" s="6">
        <v>0</v>
      </c>
      <c r="E105" s="5" t="s">
        <v>62</v>
      </c>
      <c r="F105" s="5" t="s">
        <v>31</v>
      </c>
      <c r="G105" s="5" t="s">
        <v>206</v>
      </c>
      <c r="I105" s="5" t="str">
        <v>P. Tali</v>
      </c>
      <c r="J105" s="9" t="str">
        <v>P. T</v>
      </c>
      <c r="K105" s="8">
        <v>1</v>
      </c>
      <c r="L105" s="8" t="str">
        <v>P. T</v>
      </c>
    </row>
    <row r="106" spans="2:12" x14ac:dyDescent="0.3">
      <c r="B106" s="5" t="s">
        <v>207</v>
      </c>
      <c r="C106" s="6" t="s">
        <v>13</v>
      </c>
      <c r="D106" s="6">
        <v>0</v>
      </c>
      <c r="E106" s="5" t="s">
        <v>62</v>
      </c>
      <c r="F106" s="5" t="s">
        <v>15</v>
      </c>
      <c r="G106" s="5" t="s">
        <v>208</v>
      </c>
      <c r="I106" s="5" t="str">
        <v>T. Tamm</v>
      </c>
      <c r="J106" s="9" t="str">
        <v>T. T</v>
      </c>
      <c r="K106" s="8">
        <v>2</v>
      </c>
      <c r="L106" s="8" t="str">
        <v/>
      </c>
    </row>
    <row r="107" spans="2:12" x14ac:dyDescent="0.3">
      <c r="B107" s="5" t="s">
        <v>209</v>
      </c>
      <c r="C107" s="6" t="s">
        <v>13</v>
      </c>
      <c r="D107" s="6">
        <v>0</v>
      </c>
      <c r="E107" s="5" t="s">
        <v>62</v>
      </c>
      <c r="F107" s="5" t="s">
        <v>39</v>
      </c>
      <c r="G107" s="5" t="s">
        <v>210</v>
      </c>
      <c r="I107" s="5" t="str">
        <v>I. Taro</v>
      </c>
      <c r="J107" s="9" t="str">
        <v>I. T</v>
      </c>
      <c r="K107" s="8">
        <v>1</v>
      </c>
      <c r="L107" s="8" t="str">
        <v>I. T</v>
      </c>
    </row>
    <row r="108" spans="2:12" x14ac:dyDescent="0.3">
      <c r="B108" s="5" t="s">
        <v>211</v>
      </c>
      <c r="C108" s="6" t="s">
        <v>13</v>
      </c>
      <c r="D108" s="6">
        <v>0</v>
      </c>
      <c r="E108" s="5" t="s">
        <v>62</v>
      </c>
      <c r="F108" s="5" t="s">
        <v>34</v>
      </c>
      <c r="G108" s="5" t="s">
        <v>212</v>
      </c>
      <c r="I108" s="5" t="str">
        <v>T. Tein</v>
      </c>
      <c r="J108" s="9" t="str">
        <v>T. T</v>
      </c>
      <c r="K108" s="8">
        <v>2</v>
      </c>
      <c r="L108" s="8" t="str">
        <v/>
      </c>
    </row>
    <row r="109" spans="2:12" x14ac:dyDescent="0.3">
      <c r="B109" s="5" t="s">
        <v>213</v>
      </c>
      <c r="C109" s="6" t="s">
        <v>13</v>
      </c>
      <c r="D109" s="6">
        <v>0</v>
      </c>
      <c r="E109" s="5" t="s">
        <v>62</v>
      </c>
      <c r="F109" s="5" t="s">
        <v>45</v>
      </c>
      <c r="G109" s="5" t="s">
        <v>214</v>
      </c>
      <c r="I109" s="5" t="str">
        <v>H. Terras</v>
      </c>
      <c r="J109" s="9" t="str">
        <v>H. T</v>
      </c>
      <c r="K109" s="8">
        <v>1</v>
      </c>
      <c r="L109" s="8" t="str">
        <v>H. T</v>
      </c>
    </row>
    <row r="110" spans="2:12" x14ac:dyDescent="0.3">
      <c r="B110" s="5" t="s">
        <v>215</v>
      </c>
      <c r="C110" s="6" t="s">
        <v>18</v>
      </c>
      <c r="D110" s="6">
        <v>0</v>
      </c>
      <c r="E110" s="5" t="s">
        <v>19</v>
      </c>
      <c r="F110" s="5" t="s">
        <v>39</v>
      </c>
      <c r="G110" s="5" t="s">
        <v>216</v>
      </c>
      <c r="I110" s="5" t="str">
        <v>U. Tiidus</v>
      </c>
      <c r="J110" s="9" t="str">
        <v>U. T</v>
      </c>
      <c r="K110" s="8">
        <v>1</v>
      </c>
      <c r="L110" s="8" t="str">
        <v>U. T</v>
      </c>
    </row>
    <row r="111" spans="2:12" x14ac:dyDescent="0.3">
      <c r="B111" s="5" t="s">
        <v>217</v>
      </c>
      <c r="C111" s="6" t="s">
        <v>13</v>
      </c>
      <c r="D111" s="6">
        <v>0</v>
      </c>
      <c r="E111" s="5" t="s">
        <v>19</v>
      </c>
      <c r="F111" s="5" t="s">
        <v>42</v>
      </c>
      <c r="G111" s="5" t="s">
        <v>218</v>
      </c>
      <c r="I111" s="5" t="str">
        <v>M. Timpson</v>
      </c>
      <c r="J111" s="9" t="str">
        <v>M. T</v>
      </c>
      <c r="K111" s="8">
        <v>1</v>
      </c>
      <c r="L111" s="8" t="str">
        <v>M. T</v>
      </c>
    </row>
    <row r="112" spans="2:12" x14ac:dyDescent="0.3">
      <c r="B112" s="5" t="s">
        <v>219</v>
      </c>
      <c r="C112" s="6" t="s">
        <v>18</v>
      </c>
      <c r="D112" s="6">
        <v>0</v>
      </c>
      <c r="E112" s="5" t="s">
        <v>19</v>
      </c>
      <c r="F112" s="5" t="s">
        <v>50</v>
      </c>
      <c r="G112" s="5" t="s">
        <v>220</v>
      </c>
      <c r="I112" s="5" t="str">
        <v>V. Toomast</v>
      </c>
      <c r="J112" s="9" t="str">
        <v>V. T</v>
      </c>
      <c r="K112" s="8">
        <v>1</v>
      </c>
      <c r="L112" s="8" t="str">
        <v>V. T</v>
      </c>
    </row>
    <row r="113" spans="2:12" x14ac:dyDescent="0.3">
      <c r="B113" s="5" t="s">
        <v>221</v>
      </c>
      <c r="C113" s="6" t="s">
        <v>13</v>
      </c>
      <c r="D113" s="6">
        <v>0</v>
      </c>
      <c r="E113" s="5" t="s">
        <v>30</v>
      </c>
      <c r="F113" s="5" t="s">
        <v>42</v>
      </c>
      <c r="G113" s="5" t="s">
        <v>222</v>
      </c>
      <c r="I113" s="5" t="str">
        <v>A. Tšaplõgin</v>
      </c>
      <c r="J113" s="9" t="str">
        <v>A. T</v>
      </c>
      <c r="K113" s="8">
        <v>1</v>
      </c>
      <c r="L113" s="8" t="str">
        <v>A. T</v>
      </c>
    </row>
    <row r="114" spans="2:12" x14ac:dyDescent="0.3">
      <c r="B114" s="5" t="s">
        <v>223</v>
      </c>
      <c r="C114" s="6" t="s">
        <v>13</v>
      </c>
      <c r="D114" s="6">
        <v>0</v>
      </c>
      <c r="E114" s="5" t="s">
        <v>62</v>
      </c>
      <c r="F114" s="5" t="s">
        <v>24</v>
      </c>
      <c r="G114" s="5" t="s">
        <v>224</v>
      </c>
      <c r="I114" s="5" t="str">
        <v>T. Uibo</v>
      </c>
      <c r="J114" s="9" t="str">
        <v>T. U</v>
      </c>
      <c r="K114" s="8">
        <v>1</v>
      </c>
      <c r="L114" s="8" t="str">
        <v>T. U</v>
      </c>
    </row>
    <row r="115" spans="2:12" x14ac:dyDescent="0.3">
      <c r="B115" s="5" t="s">
        <v>225</v>
      </c>
      <c r="C115" s="6" t="s">
        <v>13</v>
      </c>
      <c r="D115" s="6">
        <v>0</v>
      </c>
      <c r="E115" s="5" t="s">
        <v>19</v>
      </c>
      <c r="F115" s="5" t="s">
        <v>31</v>
      </c>
      <c r="G115" s="5" t="s">
        <v>226</v>
      </c>
      <c r="I115" s="5" t="str">
        <v>K. Vaga</v>
      </c>
      <c r="J115" s="9" t="str">
        <v>K. V</v>
      </c>
      <c r="K115" s="8">
        <v>1</v>
      </c>
      <c r="L115" s="8" t="str">
        <v>K. V</v>
      </c>
    </row>
    <row r="116" spans="2:12" x14ac:dyDescent="0.3">
      <c r="B116" s="5" t="s">
        <v>227</v>
      </c>
      <c r="C116" s="6" t="s">
        <v>13</v>
      </c>
      <c r="D116" s="6">
        <v>0</v>
      </c>
      <c r="E116" s="5" t="s">
        <v>14</v>
      </c>
      <c r="F116" s="5" t="s">
        <v>45</v>
      </c>
      <c r="G116" s="5" t="s">
        <v>228</v>
      </c>
      <c r="I116" s="5" t="str">
        <v>J. Valge</v>
      </c>
      <c r="J116" s="9" t="str">
        <v>J. V</v>
      </c>
      <c r="K116" s="8">
        <v>1</v>
      </c>
      <c r="L116" s="8" t="str">
        <v>J. V</v>
      </c>
    </row>
    <row r="117" spans="2:12" x14ac:dyDescent="0.3">
      <c r="B117" s="5" t="s">
        <v>229</v>
      </c>
      <c r="C117" s="6" t="s">
        <v>13</v>
      </c>
      <c r="D117" s="6">
        <v>0</v>
      </c>
      <c r="E117" s="5" t="s">
        <v>27</v>
      </c>
      <c r="F117" s="5" t="s">
        <v>50</v>
      </c>
      <c r="G117" s="5" t="s">
        <v>230</v>
      </c>
      <c r="I117" s="5" t="str">
        <v>V. Vooglaid</v>
      </c>
      <c r="J117" s="9" t="str">
        <v>V. V</v>
      </c>
      <c r="K117" s="8">
        <v>1</v>
      </c>
      <c r="L117" s="8" t="str">
        <v>V. V</v>
      </c>
    </row>
    <row r="118" spans="2:12" x14ac:dyDescent="0.3">
      <c r="B118" s="5" t="s">
        <v>231</v>
      </c>
      <c r="C118" s="6" t="s">
        <v>13</v>
      </c>
      <c r="D118" s="6">
        <v>1</v>
      </c>
      <c r="E118" s="5" t="s">
        <v>19</v>
      </c>
      <c r="F118" s="5" t="s">
        <v>20</v>
      </c>
      <c r="G118" s="5" t="s">
        <v>232</v>
      </c>
      <c r="I118" s="5" t="str">
        <v>M. Võrklaev</v>
      </c>
      <c r="J118" s="9" t="str">
        <v>M. V</v>
      </c>
      <c r="K118" s="8">
        <v>1</v>
      </c>
      <c r="L118" s="8" t="str">
        <v>M. V</v>
      </c>
    </row>
  </sheetData>
  <mergeCells count="3">
    <mergeCell ref="D1:G5"/>
    <mergeCell ref="B16:G16"/>
    <mergeCell ref="I16:N16"/>
  </mergeCells>
  <dataValidations count="1">
    <dataValidation type="whole" operator="equal" showInputMessage="1" showErrorMessage="1" sqref="C5:C6" xr:uid="{A4D4769D-7AC5-456B-BC94-21B641120EFF}">
      <formula1>13</formula1>
    </dataValidation>
  </dataValidations>
  <hyperlinks>
    <hyperlink ref="B8" location="Riigikogu!B15:G117" display="Riigikogu!B15:G117" xr:uid="{74D233BD-7B3F-410D-855E-719523FC452C}"/>
    <hyperlink ref="E8" location="Riigikogu!I15:N117" display="Riigikogu!I15:N117" xr:uid="{0542239B-D2B2-4DB4-8779-6CBE4E29858A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36575-9400-4B1F-9DD9-31C4B1632F43}">
  <dimension ref="B1:K46"/>
  <sheetViews>
    <sheetView zoomScale="69" zoomScaleNormal="85" workbookViewId="0">
      <selection activeCell="F7" sqref="F7"/>
    </sheetView>
  </sheetViews>
  <sheetFormatPr defaultRowHeight="14.4" x14ac:dyDescent="0.3"/>
  <cols>
    <col min="1" max="1" width="3.5546875" customWidth="1"/>
    <col min="2" max="2" width="19.33203125" customWidth="1"/>
    <col min="3" max="4" width="21.44140625" bestFit="1" customWidth="1"/>
    <col min="5" max="5" width="39.5546875" bestFit="1" customWidth="1"/>
    <col min="6" max="6" width="37.109375" customWidth="1"/>
    <col min="7" max="7" width="37.77734375" bestFit="1" customWidth="1"/>
    <col min="8" max="8" width="35.88671875" bestFit="1" customWidth="1"/>
    <col min="9" max="9" width="38.44140625" bestFit="1" customWidth="1"/>
    <col min="10" max="10" width="14.109375" customWidth="1"/>
    <col min="11" max="11" width="15.6640625" bestFit="1" customWidth="1"/>
    <col min="12" max="16" width="11.109375" bestFit="1" customWidth="1"/>
    <col min="17" max="17" width="10.109375" bestFit="1" customWidth="1"/>
    <col min="18" max="18" width="11.109375" bestFit="1" customWidth="1"/>
    <col min="19" max="25" width="10.109375" bestFit="1" customWidth="1"/>
  </cols>
  <sheetData>
    <row r="1" spans="2:11" x14ac:dyDescent="0.3">
      <c r="D1" s="92" t="s">
        <v>536</v>
      </c>
      <c r="E1" s="93"/>
      <c r="F1" s="93"/>
      <c r="G1" s="94"/>
    </row>
    <row r="2" spans="2:11" x14ac:dyDescent="0.3">
      <c r="D2" s="95"/>
      <c r="E2" s="96"/>
      <c r="F2" s="96"/>
      <c r="G2" s="97"/>
    </row>
    <row r="3" spans="2:11" x14ac:dyDescent="0.3">
      <c r="D3" s="95"/>
      <c r="E3" s="96"/>
      <c r="F3" s="96"/>
      <c r="G3" s="97"/>
    </row>
    <row r="4" spans="2:11" ht="15" thickBot="1" x14ac:dyDescent="0.35">
      <c r="D4" s="98"/>
      <c r="E4" s="99"/>
      <c r="F4" s="99"/>
      <c r="G4" s="100"/>
    </row>
    <row r="6" spans="2:11" x14ac:dyDescent="0.3">
      <c r="B6" s="45"/>
      <c r="C6" s="1"/>
      <c r="E6" s="54" t="s">
        <v>556</v>
      </c>
      <c r="F6" s="85" t="s">
        <v>538</v>
      </c>
      <c r="G6" s="54" t="s">
        <v>528</v>
      </c>
    </row>
    <row r="7" spans="2:11" ht="30" customHeight="1" x14ac:dyDescent="0.3">
      <c r="B7" s="48"/>
      <c r="E7" s="91" t="s">
        <v>557</v>
      </c>
      <c r="F7" s="91" t="s">
        <v>537</v>
      </c>
      <c r="G7" s="86" t="s">
        <v>233</v>
      </c>
    </row>
    <row r="8" spans="2:11" x14ac:dyDescent="0.3">
      <c r="B8" s="45"/>
    </row>
    <row r="9" spans="2:11" x14ac:dyDescent="0.3">
      <c r="B9" s="47"/>
    </row>
    <row r="10" spans="2:11" x14ac:dyDescent="0.3">
      <c r="B10" s="45"/>
      <c r="H10" s="10"/>
    </row>
    <row r="11" spans="2:11" x14ac:dyDescent="0.3">
      <c r="B11" s="45"/>
    </row>
    <row r="12" spans="2:11" x14ac:dyDescent="0.3">
      <c r="B12" s="45"/>
    </row>
    <row r="13" spans="2:11" x14ac:dyDescent="0.3">
      <c r="B13" s="45"/>
    </row>
    <row r="15" spans="2:11" ht="15.75" customHeight="1" x14ac:dyDescent="0.3">
      <c r="C15" s="104" t="s">
        <v>539</v>
      </c>
      <c r="D15" s="105"/>
    </row>
    <row r="16" spans="2:11" ht="43.2" x14ac:dyDescent="0.3">
      <c r="B16" s="49" t="s">
        <v>234</v>
      </c>
      <c r="C16" s="56">
        <v>2011</v>
      </c>
      <c r="D16" s="56">
        <v>2019</v>
      </c>
      <c r="E16" s="55" t="s">
        <v>235</v>
      </c>
      <c r="F16" s="55" t="s">
        <v>236</v>
      </c>
      <c r="G16" s="54" t="s">
        <v>237</v>
      </c>
      <c r="H16" s="54" t="s">
        <v>238</v>
      </c>
      <c r="I16" s="54" t="s">
        <v>239</v>
      </c>
      <c r="J16" s="64" t="s">
        <v>555</v>
      </c>
      <c r="K16" s="54" t="s">
        <v>545</v>
      </c>
    </row>
    <row r="17" spans="2:11" x14ac:dyDescent="0.3">
      <c r="B17" s="12" t="s">
        <v>240</v>
      </c>
      <c r="C17" s="5">
        <f t="shared" ref="C17:C43" si="0">INDEX(Rahvaarvud,MATCH($B17,kõik_riigid,0),MATCH(rahvaarv_2011,aastad,0))</f>
        <v>8375164</v>
      </c>
      <c r="D17" s="5">
        <f t="shared" ref="D17:D43" si="1">INDEX(Rahvaarvud,MATCH($B17,kõik_riigid,0),MATCH(rahvaarv_2019,aastad,0))</f>
        <v>8858775</v>
      </c>
      <c r="E17" s="13" cm="1">
        <f t="array" ref="E17:E43">((riikide_rahvaarv_2019-riikide_rahvaarv_2011)/ABS(riikide_rahvaarv_2011))</f>
        <v>5.7743466277197675E-2</v>
      </c>
      <c r="F17" s="14" cm="1">
        <f t="array" ref="F17:F43">ABS(riikide_rahvaarv_2011-riikide_rahvaarv_2019)</f>
        <v>483611</v>
      </c>
      <c r="G17" s="15">
        <f>COUNTIF(rahvaarvu_muutus_prots_2011_2019,tingimus)</f>
        <v>17</v>
      </c>
      <c r="H17" s="5">
        <v>1</v>
      </c>
      <c r="I17" s="5" t="str">
        <f>INDEX(EL_riigid,MATCH(SMALL(rahvaarvu_muutus_prots_2011_2019,H17),rahvaarvu_muutus_prots_2011_2019,0))</f>
        <v>Lithuania</v>
      </c>
      <c r="J17" s="5">
        <f>INDEX(rahvaarvu_muutus_arvudes,MATCH(I17,EL_riigid,0))</f>
        <v>258404</v>
      </c>
      <c r="K17" s="16">
        <f>(SMALL(rahvaarvu_muutus_prots_2011_2019,H17))</f>
        <v>-8.4650794669965293E-2</v>
      </c>
    </row>
    <row r="18" spans="2:11" x14ac:dyDescent="0.3">
      <c r="B18" s="12" t="s">
        <v>241</v>
      </c>
      <c r="C18" s="5">
        <f t="shared" si="0"/>
        <v>11000638</v>
      </c>
      <c r="D18" s="5">
        <f t="shared" si="1"/>
        <v>11455519</v>
      </c>
      <c r="E18" s="13">
        <v>4.1350419857466451E-2</v>
      </c>
      <c r="F18" s="14">
        <v>454881</v>
      </c>
      <c r="H18" s="17">
        <v>2</v>
      </c>
      <c r="I18" s="5" t="str">
        <f>INDEX(EL_riigid,MATCH(SMALL(rahvaarvu_muutus_prots_2011_2019,H18),rahvaarvu_muutus_prots_2011_2019,0))</f>
        <v>Latvia</v>
      </c>
      <c r="J18" s="5">
        <f>INDEX(rahvaarvu_muutus_arvudes,MATCH(I18,EL_riigid,0))</f>
        <v>154637</v>
      </c>
      <c r="K18" s="16">
        <f>(SMALL(rahvaarvu_muutus_prots_2011_2019,H18))</f>
        <v>-7.4538044591621055E-2</v>
      </c>
    </row>
    <row r="19" spans="2:11" x14ac:dyDescent="0.3">
      <c r="B19" s="12" t="s">
        <v>242</v>
      </c>
      <c r="C19" s="5">
        <f t="shared" si="0"/>
        <v>7369431</v>
      </c>
      <c r="D19" s="5">
        <f t="shared" si="1"/>
        <v>7000039</v>
      </c>
      <c r="E19" s="13">
        <v>-5.0124901094806371E-2</v>
      </c>
      <c r="F19" s="14">
        <v>369392</v>
      </c>
      <c r="H19" s="17">
        <v>3</v>
      </c>
      <c r="I19" s="5" t="str">
        <f>INDEX(EL_riigid,MATCH(SMALL(rahvaarvu_muutus_prots_2011_2019,H19),rahvaarvu_muutus_prots_2011_2019,0))</f>
        <v>Bulgaria</v>
      </c>
      <c r="J19" s="5">
        <f>INDEX(rahvaarvu_muutus_arvudes,MATCH(I19,EL_riigid,0))</f>
        <v>369392</v>
      </c>
      <c r="K19" s="16">
        <f>(SMALL(rahvaarvu_muutus_prots_2011_2019,H19))</f>
        <v>-5.0124901094806371E-2</v>
      </c>
    </row>
    <row r="20" spans="2:11" x14ac:dyDescent="0.3">
      <c r="B20" s="12" t="s">
        <v>243</v>
      </c>
      <c r="C20" s="5">
        <f t="shared" si="0"/>
        <v>4289857</v>
      </c>
      <c r="D20" s="5">
        <f t="shared" si="1"/>
        <v>4076246</v>
      </c>
      <c r="E20" s="13">
        <v>-4.9794433707230801E-2</v>
      </c>
      <c r="F20" s="14">
        <v>213611</v>
      </c>
    </row>
    <row r="21" spans="2:11" x14ac:dyDescent="0.3">
      <c r="B21" s="5" t="s">
        <v>244</v>
      </c>
      <c r="C21" s="5">
        <f t="shared" si="0"/>
        <v>10486731</v>
      </c>
      <c r="D21" s="5">
        <f t="shared" si="1"/>
        <v>10649800</v>
      </c>
      <c r="E21" s="13">
        <v>1.5550031749646292E-2</v>
      </c>
      <c r="F21" s="14">
        <v>163069</v>
      </c>
    </row>
    <row r="22" spans="2:11" x14ac:dyDescent="0.3">
      <c r="B22" s="12" t="s">
        <v>245</v>
      </c>
      <c r="C22" s="5">
        <f t="shared" si="0"/>
        <v>839751</v>
      </c>
      <c r="D22" s="5">
        <f t="shared" si="1"/>
        <v>875899</v>
      </c>
      <c r="E22" s="13">
        <v>4.304609342531298E-2</v>
      </c>
      <c r="F22" s="14">
        <v>36148</v>
      </c>
    </row>
    <row r="23" spans="2:11" x14ac:dyDescent="0.3">
      <c r="B23" s="12" t="s">
        <v>246</v>
      </c>
      <c r="C23" s="5">
        <f t="shared" si="0"/>
        <v>5560628</v>
      </c>
      <c r="D23" s="5">
        <f t="shared" si="1"/>
        <v>5806081</v>
      </c>
      <c r="E23" s="13">
        <v>4.4141237284709568E-2</v>
      </c>
      <c r="F23" s="14">
        <v>245453</v>
      </c>
    </row>
    <row r="24" spans="2:11" x14ac:dyDescent="0.3">
      <c r="B24" s="12" t="s">
        <v>247</v>
      </c>
      <c r="C24" s="5">
        <f t="shared" si="0"/>
        <v>1329660</v>
      </c>
      <c r="D24" s="5">
        <f t="shared" si="1"/>
        <v>1324820</v>
      </c>
      <c r="E24" s="13">
        <v>-3.6400282779056299E-3</v>
      </c>
      <c r="F24" s="14">
        <v>4840</v>
      </c>
    </row>
    <row r="25" spans="2:11" x14ac:dyDescent="0.3">
      <c r="B25" s="12" t="s">
        <v>248</v>
      </c>
      <c r="C25" s="5">
        <f t="shared" si="0"/>
        <v>5375276</v>
      </c>
      <c r="D25" s="5">
        <f t="shared" si="1"/>
        <v>5517919</v>
      </c>
      <c r="E25" s="13">
        <v>2.6536869920725931E-2</v>
      </c>
      <c r="F25" s="14">
        <v>142643</v>
      </c>
    </row>
    <row r="26" spans="2:11" x14ac:dyDescent="0.3">
      <c r="B26" s="12" t="s">
        <v>249</v>
      </c>
      <c r="C26" s="5">
        <f t="shared" si="0"/>
        <v>64978721</v>
      </c>
      <c r="D26" s="5">
        <f t="shared" si="1"/>
        <v>67177636</v>
      </c>
      <c r="E26" s="13">
        <v>3.3840539889974132E-2</v>
      </c>
      <c r="F26" s="14">
        <v>2198915</v>
      </c>
    </row>
    <row r="27" spans="2:11" x14ac:dyDescent="0.3">
      <c r="B27" s="12" t="s">
        <v>250</v>
      </c>
      <c r="C27" s="5">
        <f t="shared" si="0"/>
        <v>80222065</v>
      </c>
      <c r="D27" s="5">
        <f t="shared" si="1"/>
        <v>83019213</v>
      </c>
      <c r="E27" s="13">
        <v>3.4867564179505976E-2</v>
      </c>
      <c r="F27" s="14">
        <v>2797148</v>
      </c>
    </row>
    <row r="28" spans="2:11" x14ac:dyDescent="0.3">
      <c r="B28" s="12" t="s">
        <v>251</v>
      </c>
      <c r="C28" s="5">
        <f t="shared" si="0"/>
        <v>11123392</v>
      </c>
      <c r="D28" s="5">
        <f t="shared" si="1"/>
        <v>10724599</v>
      </c>
      <c r="E28" s="13">
        <v>-3.5851743784629728E-2</v>
      </c>
      <c r="F28" s="14">
        <v>398793</v>
      </c>
    </row>
    <row r="29" spans="2:11" x14ac:dyDescent="0.3">
      <c r="B29" s="12" t="s">
        <v>252</v>
      </c>
      <c r="C29" s="5">
        <f t="shared" si="0"/>
        <v>9985722</v>
      </c>
      <c r="D29" s="5">
        <f t="shared" si="1"/>
        <v>9772756</v>
      </c>
      <c r="E29" s="13">
        <v>-2.1327050763079523E-2</v>
      </c>
      <c r="F29" s="14">
        <v>212966</v>
      </c>
    </row>
    <row r="30" spans="2:11" x14ac:dyDescent="0.3">
      <c r="B30" s="12" t="s">
        <v>253</v>
      </c>
      <c r="C30" s="5">
        <f t="shared" si="0"/>
        <v>4570881</v>
      </c>
      <c r="D30" s="5">
        <f t="shared" si="1"/>
        <v>4904240</v>
      </c>
      <c r="E30" s="13">
        <v>7.2931017018382227E-2</v>
      </c>
      <c r="F30" s="14">
        <v>333359</v>
      </c>
    </row>
    <row r="31" spans="2:11" x14ac:dyDescent="0.3">
      <c r="B31" s="12" t="s">
        <v>254</v>
      </c>
      <c r="C31" s="5">
        <f t="shared" si="0"/>
        <v>59364690</v>
      </c>
      <c r="D31" s="5">
        <f t="shared" si="1"/>
        <v>59816673</v>
      </c>
      <c r="E31" s="13">
        <v>7.6136673163794844E-3</v>
      </c>
      <c r="F31" s="14">
        <v>451983</v>
      </c>
    </row>
    <row r="32" spans="2:11" x14ac:dyDescent="0.3">
      <c r="B32" s="12" t="s">
        <v>255</v>
      </c>
      <c r="C32" s="5">
        <f t="shared" si="0"/>
        <v>2074605</v>
      </c>
      <c r="D32" s="5">
        <f t="shared" si="1"/>
        <v>1919968</v>
      </c>
      <c r="E32" s="13">
        <v>-7.4538044591621055E-2</v>
      </c>
      <c r="F32" s="14">
        <v>154637</v>
      </c>
    </row>
    <row r="33" spans="2:6" x14ac:dyDescent="0.3">
      <c r="B33" s="12" t="s">
        <v>256</v>
      </c>
      <c r="C33" s="5">
        <f t="shared" si="0"/>
        <v>3052588</v>
      </c>
      <c r="D33" s="5">
        <f t="shared" si="1"/>
        <v>2794184</v>
      </c>
      <c r="E33" s="13">
        <v>-8.4650794669965293E-2</v>
      </c>
      <c r="F33" s="14">
        <v>258404</v>
      </c>
    </row>
    <row r="34" spans="2:6" x14ac:dyDescent="0.3">
      <c r="B34" s="12" t="s">
        <v>257</v>
      </c>
      <c r="C34" s="5">
        <f t="shared" si="0"/>
        <v>511840</v>
      </c>
      <c r="D34" s="5">
        <f t="shared" si="1"/>
        <v>613894</v>
      </c>
      <c r="E34" s="13">
        <v>0.19938652703969992</v>
      </c>
      <c r="F34" s="14">
        <v>102054</v>
      </c>
    </row>
    <row r="35" spans="2:6" x14ac:dyDescent="0.3">
      <c r="B35" s="12" t="s">
        <v>258</v>
      </c>
      <c r="C35" s="5">
        <f t="shared" si="0"/>
        <v>414989</v>
      </c>
      <c r="D35" s="5">
        <f t="shared" si="1"/>
        <v>493559</v>
      </c>
      <c r="E35" s="13">
        <v>0.18933031959883273</v>
      </c>
      <c r="F35" s="14">
        <v>78570</v>
      </c>
    </row>
    <row r="36" spans="2:6" x14ac:dyDescent="0.3">
      <c r="B36" s="12" t="s">
        <v>259</v>
      </c>
      <c r="C36" s="5">
        <f t="shared" si="0"/>
        <v>16655799</v>
      </c>
      <c r="D36" s="5">
        <f t="shared" si="1"/>
        <v>17282163</v>
      </c>
      <c r="E36" s="13">
        <v>3.7606361604147598E-2</v>
      </c>
      <c r="F36" s="14">
        <v>626364</v>
      </c>
    </row>
    <row r="37" spans="2:6" x14ac:dyDescent="0.3">
      <c r="B37" s="12" t="s">
        <v>260</v>
      </c>
      <c r="C37" s="5">
        <f t="shared" si="0"/>
        <v>38062718</v>
      </c>
      <c r="D37" s="5">
        <f t="shared" si="1"/>
        <v>37972812</v>
      </c>
      <c r="E37" s="13">
        <v>-2.3620488689220774E-3</v>
      </c>
      <c r="F37" s="14">
        <v>89906</v>
      </c>
    </row>
    <row r="38" spans="2:6" x14ac:dyDescent="0.3">
      <c r="B38" s="12" t="s">
        <v>261</v>
      </c>
      <c r="C38" s="5">
        <f t="shared" si="0"/>
        <v>10572721</v>
      </c>
      <c r="D38" s="5">
        <f t="shared" si="1"/>
        <v>10276617</v>
      </c>
      <c r="E38" s="13">
        <v>-2.8006413864510374E-2</v>
      </c>
      <c r="F38" s="14">
        <v>296104</v>
      </c>
    </row>
    <row r="39" spans="2:6" x14ac:dyDescent="0.3">
      <c r="B39" s="12" t="s">
        <v>262</v>
      </c>
      <c r="C39" s="5">
        <f t="shared" si="0"/>
        <v>20199059</v>
      </c>
      <c r="D39" s="5">
        <f t="shared" si="1"/>
        <v>19414458</v>
      </c>
      <c r="E39" s="13">
        <v>-3.8843443152475565E-2</v>
      </c>
      <c r="F39" s="14">
        <v>784601</v>
      </c>
    </row>
    <row r="40" spans="2:6" x14ac:dyDescent="0.3">
      <c r="B40" s="12" t="s">
        <v>263</v>
      </c>
      <c r="C40" s="5">
        <f t="shared" si="0"/>
        <v>5392446</v>
      </c>
      <c r="D40" s="5">
        <f t="shared" si="1"/>
        <v>5450421</v>
      </c>
      <c r="E40" s="13">
        <v>1.0751150776475092E-2</v>
      </c>
      <c r="F40" s="14">
        <v>57975</v>
      </c>
    </row>
    <row r="41" spans="2:6" x14ac:dyDescent="0.3">
      <c r="B41" s="12" t="s">
        <v>264</v>
      </c>
      <c r="C41" s="5">
        <f t="shared" si="0"/>
        <v>2050189</v>
      </c>
      <c r="D41" s="5">
        <f t="shared" si="1"/>
        <v>2080908</v>
      </c>
      <c r="E41" s="13">
        <v>1.4983496643480186E-2</v>
      </c>
      <c r="F41" s="14">
        <v>30719</v>
      </c>
    </row>
    <row r="42" spans="2:6" x14ac:dyDescent="0.3">
      <c r="B42" s="12" t="s">
        <v>265</v>
      </c>
      <c r="C42" s="5">
        <f t="shared" si="0"/>
        <v>46667174</v>
      </c>
      <c r="D42" s="5">
        <f t="shared" si="1"/>
        <v>46937060</v>
      </c>
      <c r="E42" s="13">
        <v>5.7832085568326891E-3</v>
      </c>
      <c r="F42" s="14">
        <v>269886</v>
      </c>
    </row>
    <row r="43" spans="2:6" x14ac:dyDescent="0.3">
      <c r="B43" s="12" t="s">
        <v>266</v>
      </c>
      <c r="C43" s="5">
        <f t="shared" si="0"/>
        <v>9415570</v>
      </c>
      <c r="D43" s="5">
        <f t="shared" si="1"/>
        <v>10230185</v>
      </c>
      <c r="E43" s="13">
        <v>8.6517863496315142E-2</v>
      </c>
      <c r="F43" s="14">
        <v>814615</v>
      </c>
    </row>
    <row r="44" spans="2:6" x14ac:dyDescent="0.3">
      <c r="B44" s="12"/>
      <c r="C44" s="5"/>
      <c r="D44" s="5"/>
      <c r="E44" s="7"/>
      <c r="F44" s="18"/>
    </row>
    <row r="45" spans="2:6" x14ac:dyDescent="0.3">
      <c r="B45" s="19" t="s">
        <v>267</v>
      </c>
      <c r="C45" s="11">
        <f>SUM(C17:C43)</f>
        <v>439942305</v>
      </c>
      <c r="D45" s="11">
        <f>SUM(D17:D43)</f>
        <v>446446444</v>
      </c>
      <c r="E45" s="39">
        <f>(D45-C45)/C45</f>
        <v>1.4784072652435641E-2</v>
      </c>
      <c r="F45" s="40">
        <f>SUM(F17:F43)</f>
        <v>12070647</v>
      </c>
    </row>
    <row r="46" spans="2:6" s="21" customFormat="1" x14ac:dyDescent="0.3">
      <c r="B46" s="20"/>
    </row>
  </sheetData>
  <mergeCells count="2">
    <mergeCell ref="D1:G4"/>
    <mergeCell ref="C15:D15"/>
  </mergeCells>
  <dataValidations count="1">
    <dataValidation type="whole" operator="equal" showInputMessage="1" showErrorMessage="1" sqref="C6:C13 B7" xr:uid="{A536AF44-ED08-4FF6-A476-5D9EEF0AD561}">
      <formula1>13</formula1>
    </dataValidation>
  </dataValidations>
  <hyperlinks>
    <hyperlink ref="F7" location="Eurostat!A1" display="Eurostat!A1" xr:uid="{D8B9C906-8983-475C-A8D5-3C51FD988256}"/>
    <hyperlink ref="E7" location="Riigid!C15:K45" display="Riigid!C15:K45" xr:uid="{8BFE2AF3-377F-4D9C-A2F9-CDA1BC6112E3}"/>
  </hyperlinks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FB473-4EAF-425E-B99F-DE026A06F627}">
  <dimension ref="B1:X138"/>
  <sheetViews>
    <sheetView zoomScale="66" zoomScaleNormal="100" workbookViewId="0">
      <selection activeCell="O3" sqref="O3"/>
    </sheetView>
  </sheetViews>
  <sheetFormatPr defaultRowHeight="14.4" x14ac:dyDescent="0.3"/>
  <cols>
    <col min="1" max="1" width="3.77734375" customWidth="1"/>
    <col min="2" max="2" width="18.77734375" customWidth="1"/>
    <col min="3" max="3" width="16.88671875" customWidth="1"/>
    <col min="4" max="4" width="14.21875" customWidth="1"/>
    <col min="5" max="12" width="13.44140625" customWidth="1"/>
    <col min="13" max="13" width="12.21875" customWidth="1"/>
    <col min="14" max="14" width="13.21875" bestFit="1" customWidth="1"/>
    <col min="15" max="15" width="32.33203125" bestFit="1" customWidth="1"/>
    <col min="16" max="16" width="14.5546875" customWidth="1"/>
    <col min="17" max="18" width="10.21875" customWidth="1"/>
    <col min="19" max="19" width="11.88671875" customWidth="1"/>
    <col min="20" max="20" width="10.21875" customWidth="1"/>
    <col min="21" max="21" width="5.44140625" customWidth="1"/>
    <col min="22" max="22" width="4.6640625" customWidth="1"/>
    <col min="23" max="23" width="4.44140625" customWidth="1"/>
    <col min="24" max="24" width="12.77734375" customWidth="1"/>
  </cols>
  <sheetData>
    <row r="1" spans="2:15" ht="15" customHeight="1" x14ac:dyDescent="0.3">
      <c r="G1" s="92" t="s">
        <v>552</v>
      </c>
      <c r="H1" s="93"/>
      <c r="I1" s="93"/>
      <c r="J1" s="93"/>
      <c r="K1" s="93"/>
      <c r="L1" s="94"/>
    </row>
    <row r="2" spans="2:15" ht="57" customHeight="1" x14ac:dyDescent="0.3">
      <c r="B2" s="81" t="s">
        <v>533</v>
      </c>
      <c r="C2" s="82" t="s">
        <v>549</v>
      </c>
      <c r="D2" s="82" t="s">
        <v>553</v>
      </c>
      <c r="G2" s="95"/>
      <c r="H2" s="96"/>
      <c r="I2" s="96"/>
      <c r="J2" s="96"/>
      <c r="K2" s="96"/>
      <c r="L2" s="97"/>
    </row>
    <row r="3" spans="2:15" ht="14.4" customHeight="1" x14ac:dyDescent="0.3">
      <c r="B3" s="62" t="s">
        <v>550</v>
      </c>
      <c r="C3" s="62" t="s">
        <v>558</v>
      </c>
      <c r="D3" s="62" t="s">
        <v>551</v>
      </c>
      <c r="G3" s="95"/>
      <c r="H3" s="96"/>
      <c r="I3" s="96"/>
      <c r="J3" s="96"/>
      <c r="K3" s="96"/>
      <c r="L3" s="97"/>
    </row>
    <row r="4" spans="2:15" ht="14.4" customHeight="1" x14ac:dyDescent="0.3">
      <c r="G4" s="95"/>
      <c r="H4" s="96"/>
      <c r="I4" s="96"/>
      <c r="J4" s="96"/>
      <c r="K4" s="96"/>
      <c r="L4" s="97"/>
    </row>
    <row r="5" spans="2:15" ht="15" customHeight="1" thickBot="1" x14ac:dyDescent="0.35">
      <c r="G5" s="98"/>
      <c r="H5" s="99"/>
      <c r="I5" s="99"/>
      <c r="J5" s="99"/>
      <c r="K5" s="99"/>
      <c r="L5" s="100"/>
    </row>
    <row r="6" spans="2:15" ht="15" customHeight="1" thickBot="1" x14ac:dyDescent="0.55000000000000004">
      <c r="G6" s="61"/>
      <c r="H6" s="61"/>
      <c r="I6" s="61"/>
      <c r="J6" s="61"/>
      <c r="K6" s="61"/>
      <c r="L6" s="61"/>
    </row>
    <row r="7" spans="2:15" ht="15" thickBot="1" x14ac:dyDescent="0.35">
      <c r="J7" s="83" t="s">
        <v>535</v>
      </c>
      <c r="K7" s="83" t="s">
        <v>293</v>
      </c>
    </row>
    <row r="8" spans="2:15" ht="29.4" thickBot="1" x14ac:dyDescent="0.35">
      <c r="B8" s="45"/>
      <c r="C8" s="1"/>
      <c r="D8" s="1"/>
      <c r="E8" s="1"/>
      <c r="F8" s="1"/>
      <c r="G8" s="1"/>
      <c r="H8" s="1"/>
      <c r="I8" s="1"/>
      <c r="J8" s="28" t="s">
        <v>295</v>
      </c>
      <c r="K8" s="29" cm="1">
        <f t="array" ref="K8:K14">SUMIF(Osakond,osakonnad,Palk)/COUNTIF(Osakond,osakonnad)</f>
        <v>1426.6666666666667</v>
      </c>
      <c r="M8" s="84" t="s">
        <v>294</v>
      </c>
      <c r="N8" s="87" t="s">
        <v>559</v>
      </c>
      <c r="O8" s="87" t="s">
        <v>560</v>
      </c>
    </row>
    <row r="9" spans="2:15" ht="15" thickBot="1" x14ac:dyDescent="0.35">
      <c r="B9" s="46"/>
      <c r="J9" s="28" t="s">
        <v>296</v>
      </c>
      <c r="K9" s="29">
        <v>1539.7435897435898</v>
      </c>
      <c r="M9" s="41">
        <v>1</v>
      </c>
      <c r="N9" s="44" cm="1">
        <f t="array" ref="N9:N12">QUARTILE(Palk,Kvartiilid)</f>
        <v>1260</v>
      </c>
      <c r="O9" s="28">
        <f>COUNTIF(Palk,"&lt;"&amp;$N9)</f>
        <v>24</v>
      </c>
    </row>
    <row r="10" spans="2:15" ht="15" thickBot="1" x14ac:dyDescent="0.35">
      <c r="B10" s="46"/>
      <c r="J10" s="28" t="s">
        <v>297</v>
      </c>
      <c r="K10" s="29">
        <v>1984</v>
      </c>
      <c r="M10" s="42">
        <v>2</v>
      </c>
      <c r="N10" s="44">
        <v>1420</v>
      </c>
      <c r="O10" s="28">
        <f>COUNTIF(Palk,"&lt;"&amp;$N10)</f>
        <v>46</v>
      </c>
    </row>
    <row r="11" spans="2:15" ht="15" thickBot="1" x14ac:dyDescent="0.35">
      <c r="B11" s="46"/>
      <c r="J11" s="28" t="s">
        <v>298</v>
      </c>
      <c r="K11" s="29">
        <v>1714.2857142857142</v>
      </c>
      <c r="M11" s="42">
        <v>3</v>
      </c>
      <c r="N11" s="44">
        <v>1700</v>
      </c>
      <c r="O11" s="28">
        <f>COUNTIF(Palk,"&lt;"&amp;$N11)</f>
        <v>72</v>
      </c>
    </row>
    <row r="12" spans="2:15" ht="15" thickBot="1" x14ac:dyDescent="0.35">
      <c r="B12" s="46"/>
      <c r="J12" s="28" t="s">
        <v>299</v>
      </c>
      <c r="K12" s="29">
        <v>1580</v>
      </c>
      <c r="M12" s="43">
        <v>4</v>
      </c>
      <c r="N12" s="44">
        <v>4860</v>
      </c>
      <c r="O12" s="28">
        <f>COUNTIF(Palk,"&lt;"&amp;$N12)</f>
        <v>97</v>
      </c>
    </row>
    <row r="13" spans="2:15" ht="15" thickBot="1" x14ac:dyDescent="0.35">
      <c r="B13" s="46"/>
      <c r="J13" s="28" t="s">
        <v>300</v>
      </c>
      <c r="K13" s="29">
        <v>1400</v>
      </c>
    </row>
    <row r="14" spans="2:15" ht="15" thickBot="1" x14ac:dyDescent="0.35">
      <c r="B14" s="46"/>
      <c r="J14" s="28" t="s">
        <v>301</v>
      </c>
      <c r="K14" s="29">
        <v>2264.4444444444443</v>
      </c>
    </row>
    <row r="15" spans="2:15" ht="16.2" thickBot="1" x14ac:dyDescent="0.35">
      <c r="B15" s="2"/>
    </row>
    <row r="16" spans="2:15" ht="15" thickBot="1" x14ac:dyDescent="0.35">
      <c r="B16" s="106" t="s">
        <v>533</v>
      </c>
      <c r="C16" s="107"/>
      <c r="D16" s="107"/>
      <c r="E16" s="107"/>
      <c r="F16" s="108"/>
      <c r="G16" s="106" t="s">
        <v>548</v>
      </c>
      <c r="H16" s="107"/>
      <c r="I16" s="107"/>
      <c r="J16" s="107"/>
      <c r="K16" s="107"/>
      <c r="L16" s="107"/>
      <c r="M16" s="108"/>
    </row>
    <row r="17" spans="2:24" s="30" customFormat="1" ht="78" x14ac:dyDescent="0.3">
      <c r="B17" s="65" t="s">
        <v>1</v>
      </c>
      <c r="C17" s="66" t="s">
        <v>302</v>
      </c>
      <c r="D17" s="66" t="s">
        <v>308</v>
      </c>
      <c r="E17" s="66" t="s">
        <v>309</v>
      </c>
      <c r="F17" s="67" t="s">
        <v>310</v>
      </c>
      <c r="G17" s="74" t="s">
        <v>2</v>
      </c>
      <c r="H17" s="66" t="s">
        <v>303</v>
      </c>
      <c r="I17" s="66" t="s">
        <v>304</v>
      </c>
      <c r="J17" s="66" t="s">
        <v>305</v>
      </c>
      <c r="K17" s="66" t="s">
        <v>306</v>
      </c>
      <c r="L17" s="66" t="s">
        <v>307</v>
      </c>
      <c r="M17" s="75" t="s">
        <v>547</v>
      </c>
      <c r="Q17"/>
      <c r="R17"/>
      <c r="S17"/>
      <c r="T17"/>
      <c r="X17"/>
    </row>
    <row r="18" spans="2:24" x14ac:dyDescent="0.3">
      <c r="B18" s="68" t="s">
        <v>311</v>
      </c>
      <c r="C18" s="6" t="s">
        <v>312</v>
      </c>
      <c r="D18" s="32" t="s">
        <v>296</v>
      </c>
      <c r="E18" s="32" t="s">
        <v>313</v>
      </c>
      <c r="F18" s="69">
        <v>1160</v>
      </c>
      <c r="G18" s="76" t="str" cm="1">
        <f t="array" ref="G18:G116">IF(MOD(LEFT(Isikukood,1),2),"M","N")</f>
        <v>M</v>
      </c>
      <c r="H18" s="31" cm="1">
        <f t="array" ref="H18:H116">DATE(IF(LEFT(Isikukood,1)&gt;="5","2000","1900")+MID(Isikukood,2,2),MID(Isikukood,4,2),MID(Isikukood,6,2))</f>
        <v>22190</v>
      </c>
      <c r="I18" s="6" cm="1">
        <f t="array" aca="1" ref="I18:I116" ca="1">ROUNDDOWN((TODAY()-Sünniaeg)/365.25,0)</f>
        <v>65</v>
      </c>
      <c r="J18" s="31" cm="1">
        <f t="array" aca="1" ref="J18:J116" ca="1">DATE(YEAR(TODAY())+1,MONTH(Sünniaeg),DAY(Sünniaeg))</f>
        <v>46661</v>
      </c>
      <c r="K18" s="6" cm="1">
        <f t="array" aca="1" ref="K18:K116" ca="1">WEEKDAY(Sünnipäev,2)</f>
        <v>5</v>
      </c>
      <c r="L18" s="6" t="str" cm="1">
        <f t="array" aca="1" ref="L18:L116" ca="1">TEXT(Sünnipäev,"dddd")</f>
        <v>reede</v>
      </c>
      <c r="M18" s="77" cm="1">
        <f t="array" ref="M18:M116">ABS(Palk-INDEX(keskmine_palk,MATCH(Osakond,osakonnad,0)))</f>
        <v>379.74358974358984</v>
      </c>
      <c r="Q18" s="33"/>
      <c r="R18" s="33"/>
    </row>
    <row r="19" spans="2:24" x14ac:dyDescent="0.3">
      <c r="B19" s="68" t="s">
        <v>315</v>
      </c>
      <c r="C19" s="6" t="s">
        <v>316</v>
      </c>
      <c r="D19" s="34" t="s">
        <v>299</v>
      </c>
      <c r="E19" s="34" t="s">
        <v>317</v>
      </c>
      <c r="F19" s="69">
        <v>960</v>
      </c>
      <c r="G19" s="76" t="str">
        <v>N</v>
      </c>
      <c r="H19" s="31">
        <v>22810</v>
      </c>
      <c r="I19" s="6">
        <f ca="1"/>
        <v>64</v>
      </c>
      <c r="J19" s="31">
        <f ca="1"/>
        <v>46551</v>
      </c>
      <c r="K19" s="6">
        <f ca="1"/>
        <v>7</v>
      </c>
      <c r="L19" s="6" t="str">
        <f ca="1"/>
        <v>pühapäev</v>
      </c>
      <c r="M19" s="77">
        <v>620</v>
      </c>
      <c r="Q19" s="33"/>
      <c r="R19" s="33"/>
    </row>
    <row r="20" spans="2:24" x14ac:dyDescent="0.3">
      <c r="B20" s="68" t="s">
        <v>318</v>
      </c>
      <c r="C20" s="6" t="s">
        <v>319</v>
      </c>
      <c r="D20" s="32" t="s">
        <v>296</v>
      </c>
      <c r="E20" s="32" t="s">
        <v>313</v>
      </c>
      <c r="F20" s="69">
        <v>1380</v>
      </c>
      <c r="G20" s="76" t="str">
        <v>M</v>
      </c>
      <c r="H20" s="31">
        <v>22901</v>
      </c>
      <c r="I20" s="6">
        <f ca="1"/>
        <v>63</v>
      </c>
      <c r="J20" s="31">
        <f ca="1"/>
        <v>46642</v>
      </c>
      <c r="K20" s="6">
        <f ca="1"/>
        <v>7</v>
      </c>
      <c r="L20" s="6" t="str">
        <f ca="1"/>
        <v>pühapäev</v>
      </c>
      <c r="M20" s="77">
        <v>159.74358974358984</v>
      </c>
      <c r="Q20" s="33"/>
      <c r="R20" s="33"/>
    </row>
    <row r="21" spans="2:24" x14ac:dyDescent="0.3">
      <c r="B21" s="68" t="s">
        <v>321</v>
      </c>
      <c r="C21" s="6" t="s">
        <v>322</v>
      </c>
      <c r="D21" s="34" t="s">
        <v>296</v>
      </c>
      <c r="E21" s="34" t="s">
        <v>323</v>
      </c>
      <c r="F21" s="69">
        <v>1840</v>
      </c>
      <c r="G21" s="76" t="str">
        <v>M</v>
      </c>
      <c r="H21" s="31">
        <v>23105</v>
      </c>
      <c r="I21" s="6">
        <f ca="1"/>
        <v>63</v>
      </c>
      <c r="J21" s="31">
        <f ca="1"/>
        <v>46481</v>
      </c>
      <c r="K21" s="6">
        <f ca="1"/>
        <v>7</v>
      </c>
      <c r="L21" s="6" t="str">
        <f ca="1"/>
        <v>pühapäev</v>
      </c>
      <c r="M21" s="77">
        <v>300.25641025641016</v>
      </c>
      <c r="Q21" s="33"/>
      <c r="R21" s="33"/>
    </row>
    <row r="22" spans="2:24" x14ac:dyDescent="0.3">
      <c r="B22" s="68" t="s">
        <v>325</v>
      </c>
      <c r="C22" s="6" t="s">
        <v>326</v>
      </c>
      <c r="D22" s="34" t="s">
        <v>299</v>
      </c>
      <c r="E22" s="34" t="s">
        <v>317</v>
      </c>
      <c r="F22" s="69">
        <v>2540</v>
      </c>
      <c r="G22" s="76" t="str">
        <v>N</v>
      </c>
      <c r="H22" s="31">
        <v>23263</v>
      </c>
      <c r="I22" s="6">
        <f ca="1"/>
        <v>62</v>
      </c>
      <c r="J22" s="31">
        <f ca="1"/>
        <v>46639</v>
      </c>
      <c r="K22" s="6">
        <f ca="1"/>
        <v>4</v>
      </c>
      <c r="L22" s="6" t="str">
        <f ca="1"/>
        <v>neljapäev</v>
      </c>
      <c r="M22" s="77">
        <v>960</v>
      </c>
      <c r="Q22" s="33"/>
      <c r="R22" s="33"/>
    </row>
    <row r="23" spans="2:24" x14ac:dyDescent="0.3">
      <c r="B23" s="68" t="s">
        <v>328</v>
      </c>
      <c r="C23" s="6" t="s">
        <v>329</v>
      </c>
      <c r="D23" s="34" t="s">
        <v>295</v>
      </c>
      <c r="E23" s="34" t="s">
        <v>314</v>
      </c>
      <c r="F23" s="69">
        <v>900</v>
      </c>
      <c r="G23" s="76" t="str">
        <v>M</v>
      </c>
      <c r="H23" s="31">
        <v>23298</v>
      </c>
      <c r="I23" s="6">
        <f ca="1"/>
        <v>62</v>
      </c>
      <c r="J23" s="31">
        <f ca="1"/>
        <v>46674</v>
      </c>
      <c r="K23" s="6">
        <f ca="1"/>
        <v>4</v>
      </c>
      <c r="L23" s="6" t="str">
        <f ca="1"/>
        <v>neljapäev</v>
      </c>
      <c r="M23" s="77">
        <v>526.66666666666674</v>
      </c>
      <c r="R23" s="33"/>
    </row>
    <row r="24" spans="2:24" x14ac:dyDescent="0.3">
      <c r="B24" s="68" t="s">
        <v>331</v>
      </c>
      <c r="C24" s="6" t="s">
        <v>332</v>
      </c>
      <c r="D24" s="32" t="s">
        <v>296</v>
      </c>
      <c r="E24" s="32" t="s">
        <v>320</v>
      </c>
      <c r="F24" s="69">
        <v>1360</v>
      </c>
      <c r="G24" s="76" t="str">
        <v>M</v>
      </c>
      <c r="H24" s="31">
        <v>23488</v>
      </c>
      <c r="I24" s="6">
        <f ca="1"/>
        <v>62</v>
      </c>
      <c r="J24" s="31">
        <f ca="1"/>
        <v>46498</v>
      </c>
      <c r="K24" s="6">
        <f ca="1"/>
        <v>3</v>
      </c>
      <c r="L24" s="6" t="str">
        <f ca="1"/>
        <v>kolmapäev</v>
      </c>
      <c r="M24" s="77">
        <v>179.74358974358984</v>
      </c>
      <c r="R24" s="33"/>
    </row>
    <row r="25" spans="2:24" x14ac:dyDescent="0.3">
      <c r="B25" s="68" t="s">
        <v>334</v>
      </c>
      <c r="C25" s="6" t="s">
        <v>335</v>
      </c>
      <c r="D25" s="34" t="s">
        <v>296</v>
      </c>
      <c r="E25" s="34" t="s">
        <v>336</v>
      </c>
      <c r="F25" s="69">
        <v>4360</v>
      </c>
      <c r="G25" s="76" t="str">
        <v>M</v>
      </c>
      <c r="H25" s="31">
        <v>23618</v>
      </c>
      <c r="I25" s="6">
        <f ca="1"/>
        <v>61</v>
      </c>
      <c r="J25" s="31">
        <f ca="1"/>
        <v>46628</v>
      </c>
      <c r="K25" s="6">
        <f ca="1"/>
        <v>7</v>
      </c>
      <c r="L25" s="6" t="str">
        <f ca="1"/>
        <v>pühapäev</v>
      </c>
      <c r="M25" s="77">
        <v>2820.2564102564102</v>
      </c>
      <c r="R25" s="33"/>
    </row>
    <row r="26" spans="2:24" x14ac:dyDescent="0.3">
      <c r="B26" s="68" t="s">
        <v>337</v>
      </c>
      <c r="C26" s="6" t="s">
        <v>338</v>
      </c>
      <c r="D26" s="34" t="s">
        <v>296</v>
      </c>
      <c r="E26" s="34" t="s">
        <v>313</v>
      </c>
      <c r="F26" s="69">
        <v>1280</v>
      </c>
      <c r="G26" s="76" t="str">
        <v>N</v>
      </c>
      <c r="H26" s="31">
        <v>23754</v>
      </c>
      <c r="I26" s="6">
        <f ca="1"/>
        <v>61</v>
      </c>
      <c r="J26" s="31">
        <f ca="1"/>
        <v>46399</v>
      </c>
      <c r="K26" s="6">
        <f ca="1"/>
        <v>2</v>
      </c>
      <c r="L26" s="6" t="str">
        <f ca="1"/>
        <v>teisipäev</v>
      </c>
      <c r="M26" s="77">
        <v>259.74358974358984</v>
      </c>
      <c r="R26" s="33"/>
    </row>
    <row r="27" spans="2:24" x14ac:dyDescent="0.3">
      <c r="B27" s="68" t="s">
        <v>340</v>
      </c>
      <c r="C27" s="6" t="s">
        <v>341</v>
      </c>
      <c r="D27" s="34" t="s">
        <v>300</v>
      </c>
      <c r="E27" s="34" t="s">
        <v>336</v>
      </c>
      <c r="F27" s="69">
        <v>3020</v>
      </c>
      <c r="G27" s="76" t="str">
        <v>M</v>
      </c>
      <c r="H27" s="31">
        <v>23778</v>
      </c>
      <c r="I27" s="6">
        <f ca="1"/>
        <v>61</v>
      </c>
      <c r="J27" s="31">
        <f ca="1"/>
        <v>46423</v>
      </c>
      <c r="K27" s="6">
        <f ca="1"/>
        <v>5</v>
      </c>
      <c r="L27" s="6" t="str">
        <f ca="1"/>
        <v>reede</v>
      </c>
      <c r="M27" s="77">
        <v>1620</v>
      </c>
      <c r="R27" s="33"/>
    </row>
    <row r="28" spans="2:24" x14ac:dyDescent="0.3">
      <c r="B28" s="68" t="s">
        <v>342</v>
      </c>
      <c r="C28" s="6" t="s">
        <v>343</v>
      </c>
      <c r="D28" s="34" t="s">
        <v>296</v>
      </c>
      <c r="E28" s="34" t="s">
        <v>313</v>
      </c>
      <c r="F28" s="69">
        <v>1440</v>
      </c>
      <c r="G28" s="76" t="str">
        <v>M</v>
      </c>
      <c r="H28" s="31">
        <v>23809</v>
      </c>
      <c r="I28" s="6">
        <f ca="1"/>
        <v>61</v>
      </c>
      <c r="J28" s="31">
        <f ca="1"/>
        <v>46454</v>
      </c>
      <c r="K28" s="6">
        <f ca="1"/>
        <v>1</v>
      </c>
      <c r="L28" s="6" t="str">
        <f ca="1"/>
        <v>esmaspäev</v>
      </c>
      <c r="M28" s="77">
        <v>99.743589743589837</v>
      </c>
      <c r="R28" s="33"/>
    </row>
    <row r="29" spans="2:24" x14ac:dyDescent="0.3">
      <c r="B29" s="68" t="s">
        <v>345</v>
      </c>
      <c r="C29" s="6" t="s">
        <v>346</v>
      </c>
      <c r="D29" s="34" t="s">
        <v>297</v>
      </c>
      <c r="E29" s="34" t="s">
        <v>324</v>
      </c>
      <c r="F29" s="69">
        <v>1140</v>
      </c>
      <c r="G29" s="76" t="str">
        <v>N</v>
      </c>
      <c r="H29" s="31">
        <v>23873</v>
      </c>
      <c r="I29" s="6">
        <f ca="1"/>
        <v>61</v>
      </c>
      <c r="J29" s="31">
        <f ca="1"/>
        <v>46518</v>
      </c>
      <c r="K29" s="6">
        <f ca="1"/>
        <v>2</v>
      </c>
      <c r="L29" s="6" t="str">
        <f ca="1"/>
        <v>teisipäev</v>
      </c>
      <c r="M29" s="77">
        <v>844</v>
      </c>
      <c r="R29" s="33"/>
    </row>
    <row r="30" spans="2:24" x14ac:dyDescent="0.3">
      <c r="B30" s="68" t="s">
        <v>348</v>
      </c>
      <c r="C30" s="6" t="s">
        <v>349</v>
      </c>
      <c r="D30" s="34" t="s">
        <v>300</v>
      </c>
      <c r="E30" s="34" t="s">
        <v>313</v>
      </c>
      <c r="F30" s="69">
        <v>1020</v>
      </c>
      <c r="G30" s="76" t="str">
        <v>M</v>
      </c>
      <c r="H30" s="31">
        <v>24031</v>
      </c>
      <c r="I30" s="6">
        <f ca="1"/>
        <v>60</v>
      </c>
      <c r="J30" s="31">
        <f ca="1"/>
        <v>46676</v>
      </c>
      <c r="K30" s="6">
        <f ca="1"/>
        <v>6</v>
      </c>
      <c r="L30" s="6" t="str">
        <f ca="1"/>
        <v>laupäev</v>
      </c>
      <c r="M30" s="77">
        <v>380</v>
      </c>
      <c r="R30" s="33"/>
    </row>
    <row r="31" spans="2:24" x14ac:dyDescent="0.3">
      <c r="B31" s="68" t="s">
        <v>350</v>
      </c>
      <c r="C31" s="6" t="s">
        <v>351</v>
      </c>
      <c r="D31" s="34" t="s">
        <v>296</v>
      </c>
      <c r="E31" s="34" t="s">
        <v>313</v>
      </c>
      <c r="F31" s="69">
        <v>1950</v>
      </c>
      <c r="G31" s="76" t="str">
        <v>N</v>
      </c>
      <c r="H31" s="31">
        <v>24100</v>
      </c>
      <c r="I31" s="6">
        <f ca="1"/>
        <v>60</v>
      </c>
      <c r="J31" s="31">
        <f ca="1"/>
        <v>46745</v>
      </c>
      <c r="K31" s="6">
        <f ca="1"/>
        <v>5</v>
      </c>
      <c r="L31" s="6" t="str">
        <f ca="1"/>
        <v>reede</v>
      </c>
      <c r="M31" s="77">
        <v>410.25641025641016</v>
      </c>
      <c r="R31" s="33"/>
    </row>
    <row r="32" spans="2:24" x14ac:dyDescent="0.3">
      <c r="B32" s="68" t="s">
        <v>353</v>
      </c>
      <c r="C32" s="6" t="s">
        <v>354</v>
      </c>
      <c r="D32" s="34" t="s">
        <v>300</v>
      </c>
      <c r="E32" s="34" t="s">
        <v>313</v>
      </c>
      <c r="F32" s="69">
        <v>1280</v>
      </c>
      <c r="G32" s="76" t="str">
        <v>M</v>
      </c>
      <c r="H32" s="31">
        <v>24457</v>
      </c>
      <c r="I32" s="6">
        <f ca="1"/>
        <v>59</v>
      </c>
      <c r="J32" s="31">
        <f ca="1"/>
        <v>46737</v>
      </c>
      <c r="K32" s="6">
        <f ca="1"/>
        <v>4</v>
      </c>
      <c r="L32" s="6" t="str">
        <f ca="1"/>
        <v>neljapäev</v>
      </c>
      <c r="M32" s="77">
        <v>120</v>
      </c>
      <c r="R32" s="33"/>
    </row>
    <row r="33" spans="2:18" x14ac:dyDescent="0.3">
      <c r="B33" s="68" t="s">
        <v>356</v>
      </c>
      <c r="C33" s="6" t="s">
        <v>357</v>
      </c>
      <c r="D33" s="34" t="s">
        <v>299</v>
      </c>
      <c r="E33" s="34" t="s">
        <v>317</v>
      </c>
      <c r="F33" s="69">
        <v>860</v>
      </c>
      <c r="G33" s="76" t="str">
        <v>N</v>
      </c>
      <c r="H33" s="31">
        <v>24673</v>
      </c>
      <c r="I33" s="6">
        <f ca="1"/>
        <v>59</v>
      </c>
      <c r="J33" s="31">
        <f ca="1"/>
        <v>46588</v>
      </c>
      <c r="K33" s="6">
        <f ca="1"/>
        <v>2</v>
      </c>
      <c r="L33" s="6" t="str">
        <f ca="1"/>
        <v>teisipäev</v>
      </c>
      <c r="M33" s="77">
        <v>720</v>
      </c>
      <c r="R33" s="33"/>
    </row>
    <row r="34" spans="2:18" x14ac:dyDescent="0.3">
      <c r="B34" s="68" t="s">
        <v>358</v>
      </c>
      <c r="C34" s="6" t="s">
        <v>359</v>
      </c>
      <c r="D34" s="34" t="s">
        <v>296</v>
      </c>
      <c r="E34" s="34" t="s">
        <v>323</v>
      </c>
      <c r="F34" s="69">
        <v>1900</v>
      </c>
      <c r="G34" s="76" t="str">
        <v>M</v>
      </c>
      <c r="H34" s="31">
        <v>24736</v>
      </c>
      <c r="I34" s="6">
        <f ca="1"/>
        <v>58</v>
      </c>
      <c r="J34" s="31">
        <f ca="1"/>
        <v>46651</v>
      </c>
      <c r="K34" s="6">
        <f ca="1"/>
        <v>2</v>
      </c>
      <c r="L34" s="6" t="str">
        <f ca="1"/>
        <v>teisipäev</v>
      </c>
      <c r="M34" s="77">
        <v>360.25641025641016</v>
      </c>
      <c r="R34" s="33"/>
    </row>
    <row r="35" spans="2:18" x14ac:dyDescent="0.3">
      <c r="B35" s="68" t="s">
        <v>360</v>
      </c>
      <c r="C35" s="6" t="s">
        <v>361</v>
      </c>
      <c r="D35" s="34" t="s">
        <v>301</v>
      </c>
      <c r="E35" s="34" t="s">
        <v>327</v>
      </c>
      <c r="F35" s="69">
        <v>1700</v>
      </c>
      <c r="G35" s="76" t="str">
        <v>N</v>
      </c>
      <c r="H35" s="31">
        <v>24841</v>
      </c>
      <c r="I35" s="6">
        <f ca="1"/>
        <v>58</v>
      </c>
      <c r="J35" s="31">
        <f ca="1"/>
        <v>46391</v>
      </c>
      <c r="K35" s="6">
        <f ca="1"/>
        <v>1</v>
      </c>
      <c r="L35" s="6" t="str">
        <f ca="1"/>
        <v>esmaspäev</v>
      </c>
      <c r="M35" s="77">
        <v>564.44444444444434</v>
      </c>
      <c r="R35" s="33"/>
    </row>
    <row r="36" spans="2:18" x14ac:dyDescent="0.3">
      <c r="B36" s="68" t="s">
        <v>362</v>
      </c>
      <c r="C36" s="6" t="s">
        <v>363</v>
      </c>
      <c r="D36" s="34" t="s">
        <v>300</v>
      </c>
      <c r="E36" s="34" t="s">
        <v>344</v>
      </c>
      <c r="F36" s="69">
        <v>1380</v>
      </c>
      <c r="G36" s="76" t="str">
        <v>M</v>
      </c>
      <c r="H36" s="31">
        <v>25243</v>
      </c>
      <c r="I36" s="6">
        <f ca="1"/>
        <v>57</v>
      </c>
      <c r="J36" s="31">
        <f ca="1"/>
        <v>46427</v>
      </c>
      <c r="K36" s="6">
        <f ca="1"/>
        <v>2</v>
      </c>
      <c r="L36" s="6" t="str">
        <f ca="1"/>
        <v>teisipäev</v>
      </c>
      <c r="M36" s="77">
        <v>20</v>
      </c>
      <c r="R36" s="33"/>
    </row>
    <row r="37" spans="2:18" x14ac:dyDescent="0.3">
      <c r="B37" s="68" t="s">
        <v>364</v>
      </c>
      <c r="C37" s="6" t="s">
        <v>365</v>
      </c>
      <c r="D37" s="34" t="s">
        <v>300</v>
      </c>
      <c r="E37" s="34" t="s">
        <v>352</v>
      </c>
      <c r="F37" s="69">
        <v>1320</v>
      </c>
      <c r="G37" s="76" t="str">
        <v>M</v>
      </c>
      <c r="H37" s="31">
        <v>25675</v>
      </c>
      <c r="I37" s="6">
        <f ca="1"/>
        <v>56</v>
      </c>
      <c r="J37" s="31">
        <f ca="1"/>
        <v>46494</v>
      </c>
      <c r="K37" s="6">
        <f ca="1"/>
        <v>6</v>
      </c>
      <c r="L37" s="6" t="str">
        <f ca="1"/>
        <v>laupäev</v>
      </c>
      <c r="M37" s="77">
        <v>80</v>
      </c>
      <c r="R37" s="33"/>
    </row>
    <row r="38" spans="2:18" x14ac:dyDescent="0.3">
      <c r="B38" s="68" t="s">
        <v>366</v>
      </c>
      <c r="C38" s="6" t="s">
        <v>367</v>
      </c>
      <c r="D38" s="34" t="s">
        <v>296</v>
      </c>
      <c r="E38" s="34" t="s">
        <v>313</v>
      </c>
      <c r="F38" s="69">
        <v>1540</v>
      </c>
      <c r="G38" s="76" t="str">
        <v>M</v>
      </c>
      <c r="H38" s="31">
        <v>25715</v>
      </c>
      <c r="I38" s="6">
        <f ca="1"/>
        <v>56</v>
      </c>
      <c r="J38" s="31">
        <f ca="1"/>
        <v>46534</v>
      </c>
      <c r="K38" s="6">
        <f ca="1"/>
        <v>4</v>
      </c>
      <c r="L38" s="6" t="str">
        <f ca="1"/>
        <v>neljapäev</v>
      </c>
      <c r="M38" s="77">
        <v>0.25641025641016313</v>
      </c>
      <c r="R38" s="33"/>
    </row>
    <row r="39" spans="2:18" x14ac:dyDescent="0.3">
      <c r="B39" s="68" t="s">
        <v>368</v>
      </c>
      <c r="C39" s="6" t="s">
        <v>369</v>
      </c>
      <c r="D39" s="34" t="s">
        <v>295</v>
      </c>
      <c r="E39" s="34" t="s">
        <v>355</v>
      </c>
      <c r="F39" s="69">
        <v>1460</v>
      </c>
      <c r="G39" s="76" t="str">
        <v>M</v>
      </c>
      <c r="H39" s="31">
        <v>25920</v>
      </c>
      <c r="I39" s="6">
        <f ca="1"/>
        <v>55</v>
      </c>
      <c r="J39" s="31">
        <f ca="1"/>
        <v>46739</v>
      </c>
      <c r="K39" s="6">
        <f ca="1"/>
        <v>6</v>
      </c>
      <c r="L39" s="6" t="str">
        <f ca="1"/>
        <v>laupäev</v>
      </c>
      <c r="M39" s="77">
        <v>33.333333333333258</v>
      </c>
      <c r="R39" s="33"/>
    </row>
    <row r="40" spans="2:18" x14ac:dyDescent="0.3">
      <c r="B40" s="68" t="s">
        <v>370</v>
      </c>
      <c r="C40" s="6" t="s">
        <v>371</v>
      </c>
      <c r="D40" s="34" t="s">
        <v>295</v>
      </c>
      <c r="E40" s="34" t="s">
        <v>355</v>
      </c>
      <c r="F40" s="69">
        <v>1400</v>
      </c>
      <c r="G40" s="76" t="str">
        <v>M</v>
      </c>
      <c r="H40" s="31">
        <v>26126</v>
      </c>
      <c r="I40" s="6">
        <f ca="1"/>
        <v>55</v>
      </c>
      <c r="J40" s="31">
        <f ca="1"/>
        <v>46580</v>
      </c>
      <c r="K40" s="6">
        <f ca="1"/>
        <v>1</v>
      </c>
      <c r="L40" s="6" t="str">
        <f ca="1"/>
        <v>esmaspäev</v>
      </c>
      <c r="M40" s="77">
        <v>26.666666666666742</v>
      </c>
      <c r="R40" s="33"/>
    </row>
    <row r="41" spans="2:18" x14ac:dyDescent="0.3">
      <c r="B41" s="68" t="s">
        <v>372</v>
      </c>
      <c r="C41" s="6" t="s">
        <v>373</v>
      </c>
      <c r="D41" s="34" t="s">
        <v>296</v>
      </c>
      <c r="E41" s="34" t="s">
        <v>313</v>
      </c>
      <c r="F41" s="69">
        <v>1420</v>
      </c>
      <c r="G41" s="76" t="str">
        <v>M</v>
      </c>
      <c r="H41" s="31">
        <v>26359</v>
      </c>
      <c r="I41" s="6">
        <f ca="1"/>
        <v>54</v>
      </c>
      <c r="J41" s="31">
        <f ca="1"/>
        <v>46447</v>
      </c>
      <c r="K41" s="6">
        <f ca="1"/>
        <v>1</v>
      </c>
      <c r="L41" s="6" t="str">
        <f ca="1"/>
        <v>esmaspäev</v>
      </c>
      <c r="M41" s="77">
        <v>119.74358974358984</v>
      </c>
      <c r="R41" s="33"/>
    </row>
    <row r="42" spans="2:18" x14ac:dyDescent="0.3">
      <c r="B42" s="68" t="s">
        <v>374</v>
      </c>
      <c r="C42" s="6" t="s">
        <v>375</v>
      </c>
      <c r="D42" s="34" t="s">
        <v>296</v>
      </c>
      <c r="E42" s="34" t="s">
        <v>339</v>
      </c>
      <c r="F42" s="69">
        <v>1540</v>
      </c>
      <c r="G42" s="76" t="str">
        <v>M</v>
      </c>
      <c r="H42" s="31">
        <v>26580</v>
      </c>
      <c r="I42" s="6">
        <f ca="1"/>
        <v>53</v>
      </c>
      <c r="J42" s="31">
        <f ca="1"/>
        <v>46668</v>
      </c>
      <c r="K42" s="6">
        <f ca="1"/>
        <v>5</v>
      </c>
      <c r="L42" s="6" t="str">
        <f ca="1"/>
        <v>reede</v>
      </c>
      <c r="M42" s="77">
        <v>0.25641025641016313</v>
      </c>
    </row>
    <row r="43" spans="2:18" x14ac:dyDescent="0.3">
      <c r="B43" s="68" t="s">
        <v>376</v>
      </c>
      <c r="C43" s="6" t="s">
        <v>377</v>
      </c>
      <c r="D43" s="34" t="s">
        <v>296</v>
      </c>
      <c r="E43" s="34" t="s">
        <v>313</v>
      </c>
      <c r="F43" s="69">
        <v>1020</v>
      </c>
      <c r="G43" s="76" t="str">
        <v>M</v>
      </c>
      <c r="H43" s="31">
        <v>26616</v>
      </c>
      <c r="I43" s="6">
        <f ca="1"/>
        <v>53</v>
      </c>
      <c r="J43" s="31">
        <f ca="1"/>
        <v>46704</v>
      </c>
      <c r="K43" s="6">
        <f ca="1"/>
        <v>6</v>
      </c>
      <c r="L43" s="6" t="str">
        <f ca="1"/>
        <v>laupäev</v>
      </c>
      <c r="M43" s="77">
        <v>519.74358974358984</v>
      </c>
    </row>
    <row r="44" spans="2:18" x14ac:dyDescent="0.3">
      <c r="B44" s="68" t="s">
        <v>378</v>
      </c>
      <c r="C44" s="6" t="s">
        <v>379</v>
      </c>
      <c r="D44" s="34" t="s">
        <v>298</v>
      </c>
      <c r="E44" s="34" t="s">
        <v>324</v>
      </c>
      <c r="F44" s="69">
        <v>1140</v>
      </c>
      <c r="G44" s="76" t="str">
        <v>N</v>
      </c>
      <c r="H44" s="31">
        <v>27088</v>
      </c>
      <c r="I44" s="6">
        <f ca="1"/>
        <v>52</v>
      </c>
      <c r="J44" s="31">
        <f ca="1"/>
        <v>46446</v>
      </c>
      <c r="K44" s="6">
        <f ca="1"/>
        <v>7</v>
      </c>
      <c r="L44" s="6" t="str">
        <f ca="1"/>
        <v>pühapäev</v>
      </c>
      <c r="M44" s="77">
        <v>574.28571428571422</v>
      </c>
    </row>
    <row r="45" spans="2:18" x14ac:dyDescent="0.3">
      <c r="B45" s="68" t="s">
        <v>380</v>
      </c>
      <c r="C45" s="6" t="s">
        <v>381</v>
      </c>
      <c r="D45" s="34" t="s">
        <v>296</v>
      </c>
      <c r="E45" s="34" t="s">
        <v>313</v>
      </c>
      <c r="F45" s="69">
        <v>1160</v>
      </c>
      <c r="G45" s="76" t="str">
        <v>M</v>
      </c>
      <c r="H45" s="31">
        <v>27554</v>
      </c>
      <c r="I45" s="6">
        <f ca="1"/>
        <v>51</v>
      </c>
      <c r="J45" s="31">
        <f ca="1"/>
        <v>46547</v>
      </c>
      <c r="K45" s="6">
        <f ca="1"/>
        <v>3</v>
      </c>
      <c r="L45" s="6" t="str">
        <f ca="1"/>
        <v>kolmapäev</v>
      </c>
      <c r="M45" s="77">
        <v>379.74358974358984</v>
      </c>
    </row>
    <row r="46" spans="2:18" x14ac:dyDescent="0.3">
      <c r="B46" s="68" t="s">
        <v>382</v>
      </c>
      <c r="C46" s="6" t="s">
        <v>383</v>
      </c>
      <c r="D46" s="34" t="s">
        <v>296</v>
      </c>
      <c r="E46" s="34" t="s">
        <v>313</v>
      </c>
      <c r="F46" s="69">
        <v>1400</v>
      </c>
      <c r="G46" s="76" t="str">
        <v>M</v>
      </c>
      <c r="H46" s="31">
        <v>27669</v>
      </c>
      <c r="I46" s="6">
        <f ca="1"/>
        <v>50</v>
      </c>
      <c r="J46" s="31">
        <f ca="1"/>
        <v>46662</v>
      </c>
      <c r="K46" s="6">
        <f ca="1"/>
        <v>6</v>
      </c>
      <c r="L46" s="6" t="str">
        <f ca="1"/>
        <v>laupäev</v>
      </c>
      <c r="M46" s="77">
        <v>139.74358974358984</v>
      </c>
    </row>
    <row r="47" spans="2:18" x14ac:dyDescent="0.3">
      <c r="B47" s="68" t="s">
        <v>384</v>
      </c>
      <c r="C47" s="6" t="s">
        <v>385</v>
      </c>
      <c r="D47" s="34" t="s">
        <v>295</v>
      </c>
      <c r="E47" s="34" t="s">
        <v>355</v>
      </c>
      <c r="F47" s="69">
        <v>1260</v>
      </c>
      <c r="G47" s="76" t="str">
        <v>M</v>
      </c>
      <c r="H47" s="31">
        <v>27810</v>
      </c>
      <c r="I47" s="6">
        <f ca="1"/>
        <v>50</v>
      </c>
      <c r="J47" s="31">
        <f ca="1"/>
        <v>46438</v>
      </c>
      <c r="K47" s="6">
        <f ca="1"/>
        <v>6</v>
      </c>
      <c r="L47" s="6" t="str">
        <f ca="1"/>
        <v>laupäev</v>
      </c>
      <c r="M47" s="77">
        <v>166.66666666666674</v>
      </c>
    </row>
    <row r="48" spans="2:18" x14ac:dyDescent="0.3">
      <c r="B48" s="68" t="s">
        <v>386</v>
      </c>
      <c r="C48" s="6" t="s">
        <v>387</v>
      </c>
      <c r="D48" s="34" t="s">
        <v>301</v>
      </c>
      <c r="E48" s="34" t="s">
        <v>347</v>
      </c>
      <c r="F48" s="69">
        <v>3020</v>
      </c>
      <c r="G48" s="76" t="str">
        <v>N</v>
      </c>
      <c r="H48" s="31">
        <v>28398</v>
      </c>
      <c r="I48" s="6">
        <f ca="1"/>
        <v>48</v>
      </c>
      <c r="J48" s="31">
        <f ca="1"/>
        <v>46660</v>
      </c>
      <c r="K48" s="6">
        <f ca="1"/>
        <v>4</v>
      </c>
      <c r="L48" s="6" t="str">
        <f ca="1"/>
        <v>neljapäev</v>
      </c>
      <c r="M48" s="77">
        <v>755.55555555555566</v>
      </c>
    </row>
    <row r="49" spans="2:13" x14ac:dyDescent="0.3">
      <c r="B49" s="68" t="s">
        <v>388</v>
      </c>
      <c r="C49" s="6" t="s">
        <v>389</v>
      </c>
      <c r="D49" s="34" t="s">
        <v>300</v>
      </c>
      <c r="E49" s="34" t="s">
        <v>344</v>
      </c>
      <c r="F49" s="69">
        <v>1540</v>
      </c>
      <c r="G49" s="76" t="str">
        <v>N</v>
      </c>
      <c r="H49" s="31">
        <v>28953</v>
      </c>
      <c r="I49" s="6">
        <f ca="1"/>
        <v>47</v>
      </c>
      <c r="J49" s="31">
        <f ca="1"/>
        <v>46485</v>
      </c>
      <c r="K49" s="6">
        <f ca="1"/>
        <v>4</v>
      </c>
      <c r="L49" s="6" t="str">
        <f ca="1"/>
        <v>neljapäev</v>
      </c>
      <c r="M49" s="77">
        <v>140</v>
      </c>
    </row>
    <row r="50" spans="2:13" x14ac:dyDescent="0.3">
      <c r="B50" s="68" t="s">
        <v>390</v>
      </c>
      <c r="C50" s="6" t="s">
        <v>391</v>
      </c>
      <c r="D50" s="34" t="s">
        <v>301</v>
      </c>
      <c r="E50" s="34" t="s">
        <v>327</v>
      </c>
      <c r="F50" s="69">
        <v>1700</v>
      </c>
      <c r="G50" s="76" t="str">
        <v>N</v>
      </c>
      <c r="H50" s="31">
        <v>28982</v>
      </c>
      <c r="I50" s="6">
        <f ca="1"/>
        <v>47</v>
      </c>
      <c r="J50" s="31">
        <f ca="1"/>
        <v>46514</v>
      </c>
      <c r="K50" s="6">
        <f ca="1"/>
        <v>5</v>
      </c>
      <c r="L50" s="6" t="str">
        <f ca="1"/>
        <v>reede</v>
      </c>
      <c r="M50" s="77">
        <v>564.44444444444434</v>
      </c>
    </row>
    <row r="51" spans="2:13" x14ac:dyDescent="0.3">
      <c r="B51" s="68" t="s">
        <v>392</v>
      </c>
      <c r="C51" s="6" t="s">
        <v>393</v>
      </c>
      <c r="D51" s="34" t="s">
        <v>295</v>
      </c>
      <c r="E51" s="34" t="s">
        <v>355</v>
      </c>
      <c r="F51" s="69">
        <v>1580</v>
      </c>
      <c r="G51" s="76" t="str">
        <v>M</v>
      </c>
      <c r="H51" s="31">
        <v>29283</v>
      </c>
      <c r="I51" s="6">
        <f ca="1"/>
        <v>46</v>
      </c>
      <c r="J51" s="31">
        <f ca="1"/>
        <v>46449</v>
      </c>
      <c r="K51" s="6">
        <f ca="1"/>
        <v>3</v>
      </c>
      <c r="L51" s="6" t="str">
        <f ca="1"/>
        <v>kolmapäev</v>
      </c>
      <c r="M51" s="77">
        <v>153.33333333333326</v>
      </c>
    </row>
    <row r="52" spans="2:13" x14ac:dyDescent="0.3">
      <c r="B52" s="68" t="s">
        <v>394</v>
      </c>
      <c r="C52" s="6" t="s">
        <v>395</v>
      </c>
      <c r="D52" s="34" t="s">
        <v>295</v>
      </c>
      <c r="E52" s="34" t="s">
        <v>352</v>
      </c>
      <c r="F52" s="69">
        <v>1260</v>
      </c>
      <c r="G52" s="76" t="str">
        <v>N</v>
      </c>
      <c r="H52" s="31">
        <v>29292</v>
      </c>
      <c r="I52" s="6">
        <f ca="1"/>
        <v>46</v>
      </c>
      <c r="J52" s="31">
        <f ca="1"/>
        <v>46458</v>
      </c>
      <c r="K52" s="6">
        <f ca="1"/>
        <v>5</v>
      </c>
      <c r="L52" s="6" t="str">
        <f ca="1"/>
        <v>reede</v>
      </c>
      <c r="M52" s="77">
        <v>166.66666666666674</v>
      </c>
    </row>
    <row r="53" spans="2:13" x14ac:dyDescent="0.3">
      <c r="B53" s="68" t="s">
        <v>396</v>
      </c>
      <c r="C53" s="6" t="s">
        <v>397</v>
      </c>
      <c r="D53" s="34" t="s">
        <v>296</v>
      </c>
      <c r="E53" s="34" t="s">
        <v>320</v>
      </c>
      <c r="F53" s="69">
        <v>1800</v>
      </c>
      <c r="G53" s="76" t="str">
        <v>M</v>
      </c>
      <c r="H53" s="31">
        <v>29405</v>
      </c>
      <c r="I53" s="6">
        <f ca="1"/>
        <v>46</v>
      </c>
      <c r="J53" s="31">
        <f ca="1"/>
        <v>46571</v>
      </c>
      <c r="K53" s="6">
        <f ca="1"/>
        <v>6</v>
      </c>
      <c r="L53" s="6" t="str">
        <f ca="1"/>
        <v>laupäev</v>
      </c>
      <c r="M53" s="77">
        <v>260.25641025641016</v>
      </c>
    </row>
    <row r="54" spans="2:13" x14ac:dyDescent="0.3">
      <c r="B54" s="68" t="s">
        <v>398</v>
      </c>
      <c r="C54" s="6" t="s">
        <v>399</v>
      </c>
      <c r="D54" s="34" t="s">
        <v>299</v>
      </c>
      <c r="E54" s="34" t="s">
        <v>324</v>
      </c>
      <c r="F54" s="69">
        <v>1280</v>
      </c>
      <c r="G54" s="76" t="str">
        <v>N</v>
      </c>
      <c r="H54" s="31">
        <v>29451</v>
      </c>
      <c r="I54" s="6">
        <f ca="1"/>
        <v>45</v>
      </c>
      <c r="J54" s="31">
        <f ca="1"/>
        <v>46617</v>
      </c>
      <c r="K54" s="6">
        <f ca="1"/>
        <v>3</v>
      </c>
      <c r="L54" s="6" t="str">
        <f ca="1"/>
        <v>kolmapäev</v>
      </c>
      <c r="M54" s="77">
        <v>300</v>
      </c>
    </row>
    <row r="55" spans="2:13" x14ac:dyDescent="0.3">
      <c r="B55" s="68" t="s">
        <v>400</v>
      </c>
      <c r="C55" s="6" t="s">
        <v>401</v>
      </c>
      <c r="D55" s="34" t="s">
        <v>297</v>
      </c>
      <c r="E55" s="34" t="s">
        <v>324</v>
      </c>
      <c r="F55" s="69">
        <v>1500</v>
      </c>
      <c r="G55" s="76" t="str">
        <v>N</v>
      </c>
      <c r="H55" s="31">
        <v>29462</v>
      </c>
      <c r="I55" s="6">
        <f ca="1"/>
        <v>45</v>
      </c>
      <c r="J55" s="31">
        <f ca="1"/>
        <v>46628</v>
      </c>
      <c r="K55" s="6">
        <f ca="1"/>
        <v>7</v>
      </c>
      <c r="L55" s="6" t="str">
        <f ca="1"/>
        <v>pühapäev</v>
      </c>
      <c r="M55" s="77">
        <v>484</v>
      </c>
    </row>
    <row r="56" spans="2:13" x14ac:dyDescent="0.3">
      <c r="B56" s="68" t="s">
        <v>402</v>
      </c>
      <c r="C56" s="6" t="s">
        <v>403</v>
      </c>
      <c r="D56" s="32" t="s">
        <v>300</v>
      </c>
      <c r="E56" s="32" t="s">
        <v>313</v>
      </c>
      <c r="F56" s="69">
        <v>1000</v>
      </c>
      <c r="G56" s="76" t="str">
        <v>M</v>
      </c>
      <c r="H56" s="31">
        <v>29991</v>
      </c>
      <c r="I56" s="6">
        <f ca="1"/>
        <v>44</v>
      </c>
      <c r="J56" s="31">
        <f ca="1"/>
        <v>46427</v>
      </c>
      <c r="K56" s="6">
        <f ca="1"/>
        <v>2</v>
      </c>
      <c r="L56" s="6" t="str">
        <f ca="1"/>
        <v>teisipäev</v>
      </c>
      <c r="M56" s="77">
        <v>400</v>
      </c>
    </row>
    <row r="57" spans="2:13" x14ac:dyDescent="0.3">
      <c r="B57" s="68" t="s">
        <v>404</v>
      </c>
      <c r="C57" s="6" t="s">
        <v>405</v>
      </c>
      <c r="D57" s="32" t="s">
        <v>296</v>
      </c>
      <c r="E57" s="32" t="s">
        <v>320</v>
      </c>
      <c r="F57" s="69">
        <v>1540</v>
      </c>
      <c r="G57" s="76" t="str">
        <v>M</v>
      </c>
      <c r="H57" s="31">
        <v>30013</v>
      </c>
      <c r="I57" s="6">
        <f ca="1"/>
        <v>44</v>
      </c>
      <c r="J57" s="31">
        <f ca="1"/>
        <v>46449</v>
      </c>
      <c r="K57" s="6">
        <f ca="1"/>
        <v>3</v>
      </c>
      <c r="L57" s="6" t="str">
        <f ca="1"/>
        <v>kolmapäev</v>
      </c>
      <c r="M57" s="77">
        <v>0.25641025641016313</v>
      </c>
    </row>
    <row r="58" spans="2:13" x14ac:dyDescent="0.3">
      <c r="B58" s="68" t="s">
        <v>406</v>
      </c>
      <c r="C58" s="6" t="s">
        <v>407</v>
      </c>
      <c r="D58" s="34" t="s">
        <v>296</v>
      </c>
      <c r="E58" s="34" t="s">
        <v>313</v>
      </c>
      <c r="F58" s="69">
        <v>1500</v>
      </c>
      <c r="G58" s="76" t="str">
        <v>M</v>
      </c>
      <c r="H58" s="31">
        <v>30413</v>
      </c>
      <c r="I58" s="6">
        <f ca="1"/>
        <v>43</v>
      </c>
      <c r="J58" s="31">
        <f ca="1"/>
        <v>46484</v>
      </c>
      <c r="K58" s="6">
        <f ca="1"/>
        <v>3</v>
      </c>
      <c r="L58" s="6" t="str">
        <f ca="1"/>
        <v>kolmapäev</v>
      </c>
      <c r="M58" s="77">
        <v>39.743589743589837</v>
      </c>
    </row>
    <row r="59" spans="2:13" x14ac:dyDescent="0.3">
      <c r="B59" s="68" t="s">
        <v>408</v>
      </c>
      <c r="C59" s="6" t="s">
        <v>409</v>
      </c>
      <c r="D59" s="34" t="s">
        <v>296</v>
      </c>
      <c r="E59" s="34" t="s">
        <v>323</v>
      </c>
      <c r="F59" s="69">
        <v>1840</v>
      </c>
      <c r="G59" s="76" t="str">
        <v>M</v>
      </c>
      <c r="H59" s="31">
        <v>30558</v>
      </c>
      <c r="I59" s="6">
        <f ca="1"/>
        <v>42</v>
      </c>
      <c r="J59" s="31">
        <f ca="1"/>
        <v>46629</v>
      </c>
      <c r="K59" s="6">
        <f ca="1"/>
        <v>1</v>
      </c>
      <c r="L59" s="6" t="str">
        <f ca="1"/>
        <v>esmaspäev</v>
      </c>
      <c r="M59" s="77">
        <v>300.25641025641016</v>
      </c>
    </row>
    <row r="60" spans="2:13" x14ac:dyDescent="0.3">
      <c r="B60" s="68" t="s">
        <v>410</v>
      </c>
      <c r="C60" s="6" t="s">
        <v>411</v>
      </c>
      <c r="D60" s="34" t="s">
        <v>296</v>
      </c>
      <c r="E60" s="34" t="s">
        <v>313</v>
      </c>
      <c r="F60" s="69">
        <v>1300</v>
      </c>
      <c r="G60" s="76" t="str">
        <v>N</v>
      </c>
      <c r="H60" s="31">
        <v>31050</v>
      </c>
      <c r="I60" s="6">
        <f ca="1"/>
        <v>41</v>
      </c>
      <c r="J60" s="31">
        <f ca="1"/>
        <v>46390</v>
      </c>
      <c r="K60" s="6">
        <f ca="1"/>
        <v>7</v>
      </c>
      <c r="L60" s="6" t="str">
        <f ca="1"/>
        <v>pühapäev</v>
      </c>
      <c r="M60" s="77">
        <v>239.74358974358984</v>
      </c>
    </row>
    <row r="61" spans="2:13" x14ac:dyDescent="0.3">
      <c r="B61" s="68" t="s">
        <v>412</v>
      </c>
      <c r="C61" s="6" t="s">
        <v>413</v>
      </c>
      <c r="D61" s="34" t="s">
        <v>301</v>
      </c>
      <c r="E61" s="34" t="s">
        <v>324</v>
      </c>
      <c r="F61" s="69">
        <v>1300</v>
      </c>
      <c r="G61" s="76" t="str">
        <v>N</v>
      </c>
      <c r="H61" s="31">
        <v>31334</v>
      </c>
      <c r="I61" s="6">
        <f ca="1"/>
        <v>40</v>
      </c>
      <c r="J61" s="31">
        <f ca="1"/>
        <v>46674</v>
      </c>
      <c r="K61" s="6">
        <f ca="1"/>
        <v>4</v>
      </c>
      <c r="L61" s="6" t="str">
        <f ca="1"/>
        <v>neljapäev</v>
      </c>
      <c r="M61" s="77">
        <v>964.44444444444434</v>
      </c>
    </row>
    <row r="62" spans="2:13" x14ac:dyDescent="0.3">
      <c r="B62" s="68" t="s">
        <v>414</v>
      </c>
      <c r="C62" s="6" t="s">
        <v>415</v>
      </c>
      <c r="D62" s="34" t="s">
        <v>296</v>
      </c>
      <c r="E62" s="34" t="s">
        <v>339</v>
      </c>
      <c r="F62" s="69">
        <v>2400</v>
      </c>
      <c r="G62" s="76" t="str">
        <v>M</v>
      </c>
      <c r="H62" s="31">
        <v>31360</v>
      </c>
      <c r="I62" s="6">
        <f ca="1"/>
        <v>40</v>
      </c>
      <c r="J62" s="31">
        <f ca="1"/>
        <v>46700</v>
      </c>
      <c r="K62" s="6">
        <f ca="1"/>
        <v>2</v>
      </c>
      <c r="L62" s="6" t="str">
        <f ca="1"/>
        <v>teisipäev</v>
      </c>
      <c r="M62" s="77">
        <v>860.25641025641016</v>
      </c>
    </row>
    <row r="63" spans="2:13" x14ac:dyDescent="0.3">
      <c r="B63" s="68" t="s">
        <v>416</v>
      </c>
      <c r="C63" s="6" t="s">
        <v>417</v>
      </c>
      <c r="D63" s="34" t="s">
        <v>296</v>
      </c>
      <c r="E63" s="34" t="s">
        <v>313</v>
      </c>
      <c r="F63" s="69">
        <v>1240</v>
      </c>
      <c r="G63" s="76" t="str">
        <v>M</v>
      </c>
      <c r="H63" s="31">
        <v>31385</v>
      </c>
      <c r="I63" s="6">
        <f ca="1"/>
        <v>40</v>
      </c>
      <c r="J63" s="31">
        <f ca="1"/>
        <v>46725</v>
      </c>
      <c r="K63" s="6">
        <f ca="1"/>
        <v>6</v>
      </c>
      <c r="L63" s="6" t="str">
        <f ca="1"/>
        <v>laupäev</v>
      </c>
      <c r="M63" s="77">
        <v>299.74358974358984</v>
      </c>
    </row>
    <row r="64" spans="2:13" x14ac:dyDescent="0.3">
      <c r="B64" s="68" t="s">
        <v>418</v>
      </c>
      <c r="C64" s="6" t="s">
        <v>419</v>
      </c>
      <c r="D64" s="34" t="s">
        <v>296</v>
      </c>
      <c r="E64" s="34" t="s">
        <v>313</v>
      </c>
      <c r="F64" s="69">
        <v>1160</v>
      </c>
      <c r="G64" s="76" t="str">
        <v>M</v>
      </c>
      <c r="H64" s="31">
        <v>31688</v>
      </c>
      <c r="I64" s="6">
        <f ca="1"/>
        <v>39</v>
      </c>
      <c r="J64" s="31">
        <f ca="1"/>
        <v>46663</v>
      </c>
      <c r="K64" s="6">
        <f ca="1"/>
        <v>7</v>
      </c>
      <c r="L64" s="6" t="str">
        <f ca="1"/>
        <v>pühapäev</v>
      </c>
      <c r="M64" s="77">
        <v>379.74358974358984</v>
      </c>
    </row>
    <row r="65" spans="2:13" x14ac:dyDescent="0.3">
      <c r="B65" s="68" t="s">
        <v>420</v>
      </c>
      <c r="C65" s="6" t="s">
        <v>421</v>
      </c>
      <c r="D65" s="34" t="s">
        <v>295</v>
      </c>
      <c r="E65" s="34" t="s">
        <v>355</v>
      </c>
      <c r="F65" s="69">
        <v>1400</v>
      </c>
      <c r="G65" s="76" t="str">
        <v>M</v>
      </c>
      <c r="H65" s="31">
        <v>31947</v>
      </c>
      <c r="I65" s="6">
        <f ca="1"/>
        <v>39</v>
      </c>
      <c r="J65" s="31">
        <f ca="1"/>
        <v>46557</v>
      </c>
      <c r="K65" s="6">
        <f ca="1"/>
        <v>6</v>
      </c>
      <c r="L65" s="6" t="str">
        <f ca="1"/>
        <v>laupäev</v>
      </c>
      <c r="M65" s="77">
        <v>26.666666666666742</v>
      </c>
    </row>
    <row r="66" spans="2:13" x14ac:dyDescent="0.3">
      <c r="B66" s="68" t="s">
        <v>422</v>
      </c>
      <c r="C66" s="6" t="s">
        <v>423</v>
      </c>
      <c r="D66" s="34" t="s">
        <v>297</v>
      </c>
      <c r="E66" s="34" t="s">
        <v>324</v>
      </c>
      <c r="F66" s="69">
        <v>1900</v>
      </c>
      <c r="G66" s="76" t="str">
        <v>N</v>
      </c>
      <c r="H66" s="31">
        <v>32092</v>
      </c>
      <c r="I66" s="6">
        <f ca="1"/>
        <v>38</v>
      </c>
      <c r="J66" s="31">
        <f ca="1"/>
        <v>46702</v>
      </c>
      <c r="K66" s="6">
        <f ca="1"/>
        <v>4</v>
      </c>
      <c r="L66" s="6" t="str">
        <f ca="1"/>
        <v>neljapäev</v>
      </c>
      <c r="M66" s="77">
        <v>84</v>
      </c>
    </row>
    <row r="67" spans="2:13" x14ac:dyDescent="0.3">
      <c r="B67" s="68" t="s">
        <v>424</v>
      </c>
      <c r="C67" s="6" t="s">
        <v>425</v>
      </c>
      <c r="D67" s="34" t="s">
        <v>298</v>
      </c>
      <c r="E67" s="34" t="s">
        <v>330</v>
      </c>
      <c r="F67" s="69">
        <v>2780</v>
      </c>
      <c r="G67" s="76" t="str">
        <v>M</v>
      </c>
      <c r="H67" s="31">
        <v>32569</v>
      </c>
      <c r="I67" s="6">
        <f ca="1"/>
        <v>37</v>
      </c>
      <c r="J67" s="31">
        <f ca="1"/>
        <v>46448</v>
      </c>
      <c r="K67" s="6">
        <f ca="1"/>
        <v>2</v>
      </c>
      <c r="L67" s="6" t="str">
        <f ca="1"/>
        <v>teisipäev</v>
      </c>
      <c r="M67" s="77">
        <v>1065.7142857142858</v>
      </c>
    </row>
    <row r="68" spans="2:13" x14ac:dyDescent="0.3">
      <c r="B68" s="68" t="s">
        <v>426</v>
      </c>
      <c r="C68" s="6" t="s">
        <v>427</v>
      </c>
      <c r="D68" s="34" t="s">
        <v>300</v>
      </c>
      <c r="E68" s="34" t="s">
        <v>313</v>
      </c>
      <c r="F68" s="69">
        <v>1420</v>
      </c>
      <c r="G68" s="76" t="str">
        <v>N</v>
      </c>
      <c r="H68" s="31">
        <v>32584</v>
      </c>
      <c r="I68" s="6">
        <f ca="1"/>
        <v>37</v>
      </c>
      <c r="J68" s="31">
        <f ca="1"/>
        <v>46463</v>
      </c>
      <c r="K68" s="6">
        <f ca="1"/>
        <v>3</v>
      </c>
      <c r="L68" s="6" t="str">
        <f ca="1"/>
        <v>kolmapäev</v>
      </c>
      <c r="M68" s="77">
        <v>20</v>
      </c>
    </row>
    <row r="69" spans="2:13" x14ac:dyDescent="0.3">
      <c r="B69" s="68" t="s">
        <v>428</v>
      </c>
      <c r="C69" s="6" t="s">
        <v>429</v>
      </c>
      <c r="D69" s="34" t="s">
        <v>295</v>
      </c>
      <c r="E69" s="34" t="s">
        <v>355</v>
      </c>
      <c r="F69" s="69">
        <v>1820</v>
      </c>
      <c r="G69" s="76" t="str">
        <v>M</v>
      </c>
      <c r="H69" s="31">
        <v>32742</v>
      </c>
      <c r="I69" s="6">
        <f ca="1"/>
        <v>36</v>
      </c>
      <c r="J69" s="31">
        <f ca="1"/>
        <v>46621</v>
      </c>
      <c r="K69" s="6">
        <f ca="1"/>
        <v>7</v>
      </c>
      <c r="L69" s="6" t="str">
        <f ca="1"/>
        <v>pühapäev</v>
      </c>
      <c r="M69" s="77">
        <v>393.33333333333326</v>
      </c>
    </row>
    <row r="70" spans="2:13" x14ac:dyDescent="0.3">
      <c r="B70" s="68" t="s">
        <v>430</v>
      </c>
      <c r="C70" s="6" t="s">
        <v>431</v>
      </c>
      <c r="D70" s="34" t="s">
        <v>298</v>
      </c>
      <c r="E70" s="34" t="s">
        <v>324</v>
      </c>
      <c r="F70" s="69">
        <v>1140</v>
      </c>
      <c r="G70" s="76" t="str">
        <v>N</v>
      </c>
      <c r="H70" s="31">
        <v>32948</v>
      </c>
      <c r="I70" s="6">
        <f ca="1"/>
        <v>36</v>
      </c>
      <c r="J70" s="31">
        <f ca="1"/>
        <v>46462</v>
      </c>
      <c r="K70" s="6">
        <f ca="1"/>
        <v>2</v>
      </c>
      <c r="L70" s="6" t="str">
        <f ca="1"/>
        <v>teisipäev</v>
      </c>
      <c r="M70" s="77">
        <v>574.28571428571422</v>
      </c>
    </row>
    <row r="71" spans="2:13" x14ac:dyDescent="0.3">
      <c r="B71" s="68" t="s">
        <v>432</v>
      </c>
      <c r="C71" s="6" t="s">
        <v>433</v>
      </c>
      <c r="D71" s="34" t="s">
        <v>297</v>
      </c>
      <c r="E71" s="34" t="s">
        <v>324</v>
      </c>
      <c r="F71" s="69">
        <v>1440</v>
      </c>
      <c r="G71" s="76" t="str">
        <v>N</v>
      </c>
      <c r="H71" s="31">
        <v>32952</v>
      </c>
      <c r="I71" s="6">
        <f ca="1"/>
        <v>36</v>
      </c>
      <c r="J71" s="31">
        <f ca="1"/>
        <v>46466</v>
      </c>
      <c r="K71" s="6">
        <f ca="1"/>
        <v>6</v>
      </c>
      <c r="L71" s="6" t="str">
        <f ca="1"/>
        <v>laupäev</v>
      </c>
      <c r="M71" s="77">
        <v>544</v>
      </c>
    </row>
    <row r="72" spans="2:13" x14ac:dyDescent="0.3">
      <c r="B72" s="68" t="s">
        <v>434</v>
      </c>
      <c r="C72" s="6" t="s">
        <v>435</v>
      </c>
      <c r="D72" s="34" t="s">
        <v>295</v>
      </c>
      <c r="E72" s="34" t="s">
        <v>355</v>
      </c>
      <c r="F72" s="69">
        <v>1420</v>
      </c>
      <c r="G72" s="76" t="str">
        <v>M</v>
      </c>
      <c r="H72" s="31">
        <v>33260</v>
      </c>
      <c r="I72" s="6">
        <f ca="1"/>
        <v>35</v>
      </c>
      <c r="J72" s="31">
        <f ca="1"/>
        <v>46409</v>
      </c>
      <c r="K72" s="6">
        <f ca="1"/>
        <v>5</v>
      </c>
      <c r="L72" s="6" t="str">
        <f ca="1"/>
        <v>reede</v>
      </c>
      <c r="M72" s="77">
        <v>6.6666666666667425</v>
      </c>
    </row>
    <row r="73" spans="2:13" x14ac:dyDescent="0.3">
      <c r="B73" s="68" t="s">
        <v>436</v>
      </c>
      <c r="C73" s="6" t="s">
        <v>437</v>
      </c>
      <c r="D73" s="32" t="s">
        <v>301</v>
      </c>
      <c r="E73" s="32" t="s">
        <v>336</v>
      </c>
      <c r="F73" s="69">
        <v>4860</v>
      </c>
      <c r="G73" s="76" t="str">
        <v>N</v>
      </c>
      <c r="H73" s="31">
        <v>33270</v>
      </c>
      <c r="I73" s="6">
        <f ca="1"/>
        <v>35</v>
      </c>
      <c r="J73" s="31">
        <f ca="1"/>
        <v>46419</v>
      </c>
      <c r="K73" s="6">
        <f ca="1"/>
        <v>1</v>
      </c>
      <c r="L73" s="6" t="str">
        <f ca="1"/>
        <v>esmaspäev</v>
      </c>
      <c r="M73" s="77">
        <v>2595.5555555555557</v>
      </c>
    </row>
    <row r="74" spans="2:13" x14ac:dyDescent="0.3">
      <c r="B74" s="68" t="s">
        <v>438</v>
      </c>
      <c r="C74" s="6" t="s">
        <v>439</v>
      </c>
      <c r="D74" s="34" t="s">
        <v>296</v>
      </c>
      <c r="E74" s="34" t="s">
        <v>339</v>
      </c>
      <c r="F74" s="69">
        <v>1700</v>
      </c>
      <c r="G74" s="76" t="str">
        <v>M</v>
      </c>
      <c r="H74" s="31">
        <v>33452</v>
      </c>
      <c r="I74" s="6">
        <f ca="1"/>
        <v>34</v>
      </c>
      <c r="J74" s="31">
        <f ca="1"/>
        <v>46601</v>
      </c>
      <c r="K74" s="6">
        <f ca="1"/>
        <v>1</v>
      </c>
      <c r="L74" s="6" t="str">
        <f ca="1"/>
        <v>esmaspäev</v>
      </c>
      <c r="M74" s="77">
        <v>160.25641025641016</v>
      </c>
    </row>
    <row r="75" spans="2:13" x14ac:dyDescent="0.3">
      <c r="B75" s="68" t="s">
        <v>440</v>
      </c>
      <c r="C75" s="6" t="s">
        <v>441</v>
      </c>
      <c r="D75" s="34" t="s">
        <v>296</v>
      </c>
      <c r="E75" s="34" t="s">
        <v>313</v>
      </c>
      <c r="F75" s="69">
        <v>1580</v>
      </c>
      <c r="G75" s="76" t="str">
        <v>M</v>
      </c>
      <c r="H75" s="31">
        <v>33503</v>
      </c>
      <c r="I75" s="6">
        <f ca="1"/>
        <v>34</v>
      </c>
      <c r="J75" s="31">
        <f ca="1"/>
        <v>46652</v>
      </c>
      <c r="K75" s="6">
        <f ca="1"/>
        <v>3</v>
      </c>
      <c r="L75" s="6" t="str">
        <f ca="1"/>
        <v>kolmapäev</v>
      </c>
      <c r="M75" s="77">
        <v>40.256410256410163</v>
      </c>
    </row>
    <row r="76" spans="2:13" x14ac:dyDescent="0.3">
      <c r="B76" s="68" t="s">
        <v>442</v>
      </c>
      <c r="C76" s="6" t="s">
        <v>443</v>
      </c>
      <c r="D76" s="34" t="s">
        <v>296</v>
      </c>
      <c r="E76" s="34" t="s">
        <v>320</v>
      </c>
      <c r="F76" s="69">
        <v>1580</v>
      </c>
      <c r="G76" s="76" t="str">
        <v>M</v>
      </c>
      <c r="H76" s="31">
        <v>33540</v>
      </c>
      <c r="I76" s="6">
        <f ca="1"/>
        <v>34</v>
      </c>
      <c r="J76" s="31">
        <f ca="1"/>
        <v>46689</v>
      </c>
      <c r="K76" s="6">
        <f ca="1"/>
        <v>5</v>
      </c>
      <c r="L76" s="6" t="str">
        <f ca="1"/>
        <v>reede</v>
      </c>
      <c r="M76" s="77">
        <v>40.256410256410163</v>
      </c>
    </row>
    <row r="77" spans="2:13" x14ac:dyDescent="0.3">
      <c r="B77" s="68" t="s">
        <v>444</v>
      </c>
      <c r="C77" s="6" t="s">
        <v>445</v>
      </c>
      <c r="D77" s="34" t="s">
        <v>296</v>
      </c>
      <c r="E77" s="34" t="s">
        <v>313</v>
      </c>
      <c r="F77" s="69">
        <v>1000</v>
      </c>
      <c r="G77" s="76" t="str">
        <v>N</v>
      </c>
      <c r="H77" s="31">
        <v>33551</v>
      </c>
      <c r="I77" s="6">
        <f ca="1"/>
        <v>34</v>
      </c>
      <c r="J77" s="31">
        <f ca="1"/>
        <v>46700</v>
      </c>
      <c r="K77" s="6">
        <f ca="1"/>
        <v>2</v>
      </c>
      <c r="L77" s="6" t="str">
        <f ca="1"/>
        <v>teisipäev</v>
      </c>
      <c r="M77" s="77">
        <v>539.74358974358984</v>
      </c>
    </row>
    <row r="78" spans="2:13" x14ac:dyDescent="0.3">
      <c r="B78" s="68" t="s">
        <v>446</v>
      </c>
      <c r="C78" s="6" t="s">
        <v>447</v>
      </c>
      <c r="D78" s="34" t="s">
        <v>298</v>
      </c>
      <c r="E78" s="34" t="s">
        <v>336</v>
      </c>
      <c r="F78" s="69">
        <v>4860</v>
      </c>
      <c r="G78" s="76" t="str">
        <v>M</v>
      </c>
      <c r="H78" s="31">
        <v>33587</v>
      </c>
      <c r="I78" s="6">
        <f ca="1"/>
        <v>34</v>
      </c>
      <c r="J78" s="31">
        <f ca="1"/>
        <v>46736</v>
      </c>
      <c r="K78" s="6">
        <f ca="1"/>
        <v>3</v>
      </c>
      <c r="L78" s="6" t="str">
        <f ca="1"/>
        <v>kolmapäev</v>
      </c>
      <c r="M78" s="77">
        <v>3145.7142857142858</v>
      </c>
    </row>
    <row r="79" spans="2:13" x14ac:dyDescent="0.3">
      <c r="B79" s="68" t="s">
        <v>448</v>
      </c>
      <c r="C79" s="6" t="s">
        <v>449</v>
      </c>
      <c r="D79" s="34" t="s">
        <v>301</v>
      </c>
      <c r="E79" s="34" t="s">
        <v>347</v>
      </c>
      <c r="F79" s="69">
        <v>3140</v>
      </c>
      <c r="G79" s="76" t="str">
        <v>N</v>
      </c>
      <c r="H79" s="31">
        <v>33692</v>
      </c>
      <c r="I79" s="6">
        <f ca="1"/>
        <v>34</v>
      </c>
      <c r="J79" s="31">
        <f ca="1"/>
        <v>46475</v>
      </c>
      <c r="K79" s="6">
        <f ca="1"/>
        <v>1</v>
      </c>
      <c r="L79" s="6" t="str">
        <f ca="1"/>
        <v>esmaspäev</v>
      </c>
      <c r="M79" s="77">
        <v>875.55555555555566</v>
      </c>
    </row>
    <row r="80" spans="2:13" x14ac:dyDescent="0.3">
      <c r="B80" s="68" t="s">
        <v>450</v>
      </c>
      <c r="C80" s="6" t="s">
        <v>451</v>
      </c>
      <c r="D80" s="34" t="s">
        <v>301</v>
      </c>
      <c r="E80" s="34" t="s">
        <v>327</v>
      </c>
      <c r="F80" s="69">
        <v>1420</v>
      </c>
      <c r="G80" s="76" t="str">
        <v>N</v>
      </c>
      <c r="H80" s="31">
        <v>33834</v>
      </c>
      <c r="I80" s="6">
        <f ca="1"/>
        <v>33</v>
      </c>
      <c r="J80" s="31">
        <f ca="1"/>
        <v>46617</v>
      </c>
      <c r="K80" s="6">
        <f ca="1"/>
        <v>3</v>
      </c>
      <c r="L80" s="6" t="str">
        <f ca="1"/>
        <v>kolmapäev</v>
      </c>
      <c r="M80" s="77">
        <v>844.44444444444434</v>
      </c>
    </row>
    <row r="81" spans="2:13" x14ac:dyDescent="0.3">
      <c r="B81" s="68" t="s">
        <v>452</v>
      </c>
      <c r="C81" s="6" t="s">
        <v>453</v>
      </c>
      <c r="D81" s="34" t="s">
        <v>296</v>
      </c>
      <c r="E81" s="34" t="s">
        <v>313</v>
      </c>
      <c r="F81" s="69">
        <v>1540</v>
      </c>
      <c r="G81" s="76" t="str">
        <v>M</v>
      </c>
      <c r="H81" s="31">
        <v>33925</v>
      </c>
      <c r="I81" s="6">
        <f ca="1"/>
        <v>33</v>
      </c>
      <c r="J81" s="31">
        <f ca="1"/>
        <v>46708</v>
      </c>
      <c r="K81" s="6">
        <f ca="1"/>
        <v>3</v>
      </c>
      <c r="L81" s="6" t="str">
        <f ca="1"/>
        <v>kolmapäev</v>
      </c>
      <c r="M81" s="77">
        <v>0.25641025641016313</v>
      </c>
    </row>
    <row r="82" spans="2:13" x14ac:dyDescent="0.3">
      <c r="B82" s="68" t="s">
        <v>454</v>
      </c>
      <c r="C82" s="6" t="s">
        <v>455</v>
      </c>
      <c r="D82" s="34" t="s">
        <v>295</v>
      </c>
      <c r="E82" s="34" t="s">
        <v>352</v>
      </c>
      <c r="F82" s="69">
        <v>1280</v>
      </c>
      <c r="G82" s="76" t="str">
        <v>N</v>
      </c>
      <c r="H82" s="31">
        <v>34062</v>
      </c>
      <c r="I82" s="6">
        <f ca="1"/>
        <v>33</v>
      </c>
      <c r="J82" s="31">
        <f ca="1"/>
        <v>46480</v>
      </c>
      <c r="K82" s="6">
        <f ca="1"/>
        <v>6</v>
      </c>
      <c r="L82" s="6" t="str">
        <f ca="1"/>
        <v>laupäev</v>
      </c>
      <c r="M82" s="77">
        <v>146.66666666666674</v>
      </c>
    </row>
    <row r="83" spans="2:13" x14ac:dyDescent="0.3">
      <c r="B83" s="68" t="s">
        <v>456</v>
      </c>
      <c r="C83" s="6" t="s">
        <v>457</v>
      </c>
      <c r="D83" s="34" t="s">
        <v>298</v>
      </c>
      <c r="E83" s="34" t="s">
        <v>330</v>
      </c>
      <c r="F83" s="69">
        <v>1800</v>
      </c>
      <c r="G83" s="76" t="str">
        <v>N</v>
      </c>
      <c r="H83" s="31">
        <v>34063</v>
      </c>
      <c r="I83" s="6">
        <f ca="1"/>
        <v>33</v>
      </c>
      <c r="J83" s="31">
        <f ca="1"/>
        <v>46481</v>
      </c>
      <c r="K83" s="6">
        <f ca="1"/>
        <v>7</v>
      </c>
      <c r="L83" s="6" t="str">
        <f ca="1"/>
        <v>pühapäev</v>
      </c>
      <c r="M83" s="77">
        <v>85.714285714285779</v>
      </c>
    </row>
    <row r="84" spans="2:13" x14ac:dyDescent="0.3">
      <c r="B84" s="68" t="s">
        <v>458</v>
      </c>
      <c r="C84" s="6" t="s">
        <v>459</v>
      </c>
      <c r="D84" s="34" t="s">
        <v>298</v>
      </c>
      <c r="E84" s="34" t="s">
        <v>330</v>
      </c>
      <c r="F84" s="69">
        <v>1700</v>
      </c>
      <c r="G84" s="76" t="str">
        <v>N</v>
      </c>
      <c r="H84" s="31">
        <v>34080</v>
      </c>
      <c r="I84" s="6">
        <f ca="1"/>
        <v>33</v>
      </c>
      <c r="J84" s="31">
        <f ca="1"/>
        <v>46498</v>
      </c>
      <c r="K84" s="6">
        <f ca="1"/>
        <v>3</v>
      </c>
      <c r="L84" s="6" t="str">
        <f ca="1"/>
        <v>kolmapäev</v>
      </c>
      <c r="M84" s="77">
        <v>14.285714285714221</v>
      </c>
    </row>
    <row r="85" spans="2:13" x14ac:dyDescent="0.3">
      <c r="B85" s="68" t="s">
        <v>460</v>
      </c>
      <c r="C85" s="6" t="s">
        <v>461</v>
      </c>
      <c r="D85" s="34" t="s">
        <v>295</v>
      </c>
      <c r="E85" s="34" t="s">
        <v>352</v>
      </c>
      <c r="F85" s="69">
        <v>1420</v>
      </c>
      <c r="G85" s="76" t="str">
        <v>N</v>
      </c>
      <c r="H85" s="31">
        <v>34102</v>
      </c>
      <c r="I85" s="6">
        <f ca="1"/>
        <v>33</v>
      </c>
      <c r="J85" s="31">
        <f ca="1"/>
        <v>46520</v>
      </c>
      <c r="K85" s="6">
        <f ca="1"/>
        <v>4</v>
      </c>
      <c r="L85" s="6" t="str">
        <f ca="1"/>
        <v>neljapäev</v>
      </c>
      <c r="M85" s="77">
        <v>6.6666666666667425</v>
      </c>
    </row>
    <row r="86" spans="2:13" x14ac:dyDescent="0.3">
      <c r="B86" s="68" t="s">
        <v>462</v>
      </c>
      <c r="C86" s="6" t="s">
        <v>463</v>
      </c>
      <c r="D86" s="34" t="s">
        <v>295</v>
      </c>
      <c r="E86" s="34" t="s">
        <v>355</v>
      </c>
      <c r="F86" s="69">
        <v>1820</v>
      </c>
      <c r="G86" s="76" t="str">
        <v>M</v>
      </c>
      <c r="H86" s="31">
        <v>34107</v>
      </c>
      <c r="I86" s="6">
        <f ca="1"/>
        <v>33</v>
      </c>
      <c r="J86" s="31">
        <f ca="1"/>
        <v>46525</v>
      </c>
      <c r="K86" s="6">
        <f ca="1"/>
        <v>2</v>
      </c>
      <c r="L86" s="6" t="str">
        <f ca="1"/>
        <v>teisipäev</v>
      </c>
      <c r="M86" s="77">
        <v>393.33333333333326</v>
      </c>
    </row>
    <row r="87" spans="2:13" x14ac:dyDescent="0.3">
      <c r="B87" s="68" t="s">
        <v>464</v>
      </c>
      <c r="C87" s="6" t="s">
        <v>465</v>
      </c>
      <c r="D87" s="34" t="s">
        <v>299</v>
      </c>
      <c r="E87" s="34" t="s">
        <v>336</v>
      </c>
      <c r="F87" s="69">
        <v>3380</v>
      </c>
      <c r="G87" s="76" t="str">
        <v>N</v>
      </c>
      <c r="H87" s="31">
        <v>34560</v>
      </c>
      <c r="I87" s="6">
        <f ca="1"/>
        <v>31</v>
      </c>
      <c r="J87" s="31">
        <f ca="1"/>
        <v>46613</v>
      </c>
      <c r="K87" s="6">
        <f ca="1"/>
        <v>6</v>
      </c>
      <c r="L87" s="6" t="str">
        <f ca="1"/>
        <v>laupäev</v>
      </c>
      <c r="M87" s="77">
        <v>1800</v>
      </c>
    </row>
    <row r="88" spans="2:13" x14ac:dyDescent="0.3">
      <c r="B88" s="68" t="s">
        <v>466</v>
      </c>
      <c r="C88" s="6" t="s">
        <v>467</v>
      </c>
      <c r="D88" s="34" t="s">
        <v>297</v>
      </c>
      <c r="E88" s="34" t="s">
        <v>336</v>
      </c>
      <c r="F88" s="69">
        <v>3940</v>
      </c>
      <c r="G88" s="76" t="str">
        <v>M</v>
      </c>
      <c r="H88" s="31">
        <v>34576</v>
      </c>
      <c r="I88" s="6">
        <f ca="1"/>
        <v>31</v>
      </c>
      <c r="J88" s="31">
        <f ca="1"/>
        <v>46629</v>
      </c>
      <c r="K88" s="6">
        <f ca="1"/>
        <v>1</v>
      </c>
      <c r="L88" s="6" t="str">
        <f ca="1"/>
        <v>esmaspäev</v>
      </c>
      <c r="M88" s="77">
        <v>1956</v>
      </c>
    </row>
    <row r="89" spans="2:13" x14ac:dyDescent="0.3">
      <c r="B89" s="68" t="s">
        <v>468</v>
      </c>
      <c r="C89" s="6" t="s">
        <v>469</v>
      </c>
      <c r="D89" s="34" t="s">
        <v>296</v>
      </c>
      <c r="E89" s="34" t="s">
        <v>313</v>
      </c>
      <c r="F89" s="69">
        <v>1500</v>
      </c>
      <c r="G89" s="76" t="str">
        <v>M</v>
      </c>
      <c r="H89" s="31">
        <v>34749</v>
      </c>
      <c r="I89" s="6">
        <f ca="1"/>
        <v>31</v>
      </c>
      <c r="J89" s="31">
        <f ca="1"/>
        <v>46437</v>
      </c>
      <c r="K89" s="6">
        <f ca="1"/>
        <v>5</v>
      </c>
      <c r="L89" s="6" t="str">
        <f ca="1"/>
        <v>reede</v>
      </c>
      <c r="M89" s="77">
        <v>39.743589743589837</v>
      </c>
    </row>
    <row r="90" spans="2:13" x14ac:dyDescent="0.3">
      <c r="B90" s="68" t="s">
        <v>470</v>
      </c>
      <c r="C90" s="6" t="s">
        <v>471</v>
      </c>
      <c r="D90" s="34" t="s">
        <v>301</v>
      </c>
      <c r="E90" s="34" t="s">
        <v>327</v>
      </c>
      <c r="F90" s="69">
        <v>1540</v>
      </c>
      <c r="G90" s="76" t="str">
        <v>N</v>
      </c>
      <c r="H90" s="31">
        <v>34845</v>
      </c>
      <c r="I90" s="6">
        <f ca="1"/>
        <v>31</v>
      </c>
      <c r="J90" s="31">
        <f ca="1"/>
        <v>46533</v>
      </c>
      <c r="K90" s="6">
        <f ca="1"/>
        <v>3</v>
      </c>
      <c r="L90" s="6" t="str">
        <f ca="1"/>
        <v>kolmapäev</v>
      </c>
      <c r="M90" s="77">
        <v>724.44444444444434</v>
      </c>
    </row>
    <row r="91" spans="2:13" x14ac:dyDescent="0.3">
      <c r="B91" s="68" t="s">
        <v>472</v>
      </c>
      <c r="C91" s="6" t="s">
        <v>473</v>
      </c>
      <c r="D91" s="34" t="s">
        <v>296</v>
      </c>
      <c r="E91" s="34" t="s">
        <v>313</v>
      </c>
      <c r="F91" s="69">
        <v>1400</v>
      </c>
      <c r="G91" s="76" t="str">
        <v>N</v>
      </c>
      <c r="H91" s="31">
        <v>35471</v>
      </c>
      <c r="I91" s="6">
        <f ca="1"/>
        <v>29</v>
      </c>
      <c r="J91" s="31">
        <f ca="1"/>
        <v>46428</v>
      </c>
      <c r="K91" s="6">
        <f ca="1"/>
        <v>3</v>
      </c>
      <c r="L91" s="6" t="str">
        <f ca="1"/>
        <v>kolmapäev</v>
      </c>
      <c r="M91" s="77">
        <v>139.74358974358984</v>
      </c>
    </row>
    <row r="92" spans="2:13" x14ac:dyDescent="0.3">
      <c r="B92" s="68" t="s">
        <v>474</v>
      </c>
      <c r="C92" s="6" t="s">
        <v>475</v>
      </c>
      <c r="D92" s="34" t="s">
        <v>295</v>
      </c>
      <c r="E92" s="34" t="s">
        <v>355</v>
      </c>
      <c r="F92" s="69">
        <v>1300</v>
      </c>
      <c r="G92" s="76" t="str">
        <v>M</v>
      </c>
      <c r="H92" s="31">
        <v>35499</v>
      </c>
      <c r="I92" s="6">
        <f ca="1"/>
        <v>29</v>
      </c>
      <c r="J92" s="31">
        <f ca="1"/>
        <v>46456</v>
      </c>
      <c r="K92" s="6">
        <f ca="1"/>
        <v>3</v>
      </c>
      <c r="L92" s="6" t="str">
        <f ca="1"/>
        <v>kolmapäev</v>
      </c>
      <c r="M92" s="77">
        <v>126.66666666666674</v>
      </c>
    </row>
    <row r="93" spans="2:13" x14ac:dyDescent="0.3">
      <c r="B93" s="68" t="s">
        <v>476</v>
      </c>
      <c r="C93" s="6" t="s">
        <v>477</v>
      </c>
      <c r="D93" s="34" t="s">
        <v>298</v>
      </c>
      <c r="E93" s="34" t="s">
        <v>324</v>
      </c>
      <c r="F93" s="69">
        <v>1280</v>
      </c>
      <c r="G93" s="76" t="str">
        <v>N</v>
      </c>
      <c r="H93" s="31">
        <v>35734</v>
      </c>
      <c r="I93" s="6">
        <f ca="1"/>
        <v>28</v>
      </c>
      <c r="J93" s="31">
        <f ca="1"/>
        <v>46691</v>
      </c>
      <c r="K93" s="6">
        <f ca="1"/>
        <v>7</v>
      </c>
      <c r="L93" s="6" t="str">
        <f ca="1"/>
        <v>pühapäev</v>
      </c>
      <c r="M93" s="77">
        <v>434.28571428571422</v>
      </c>
    </row>
    <row r="94" spans="2:13" x14ac:dyDescent="0.3">
      <c r="B94" s="68" t="s">
        <v>478</v>
      </c>
      <c r="C94" s="6" t="s">
        <v>479</v>
      </c>
      <c r="D94" s="34" t="s">
        <v>301</v>
      </c>
      <c r="E94" s="34" t="s">
        <v>327</v>
      </c>
      <c r="F94" s="69">
        <v>1700</v>
      </c>
      <c r="G94" s="76" t="str">
        <v>M</v>
      </c>
      <c r="H94" s="31">
        <v>35808</v>
      </c>
      <c r="I94" s="6">
        <f ca="1"/>
        <v>28</v>
      </c>
      <c r="J94" s="31">
        <f ca="1"/>
        <v>46400</v>
      </c>
      <c r="K94" s="6">
        <f ca="1"/>
        <v>3</v>
      </c>
      <c r="L94" s="6" t="str">
        <f ca="1"/>
        <v>kolmapäev</v>
      </c>
      <c r="M94" s="77">
        <v>564.44444444444434</v>
      </c>
    </row>
    <row r="95" spans="2:13" x14ac:dyDescent="0.3">
      <c r="B95" s="68" t="s">
        <v>480</v>
      </c>
      <c r="C95" s="6" t="s">
        <v>481</v>
      </c>
      <c r="D95" s="34" t="s">
        <v>296</v>
      </c>
      <c r="E95" s="34" t="s">
        <v>339</v>
      </c>
      <c r="F95" s="69">
        <v>1720</v>
      </c>
      <c r="G95" s="76" t="str">
        <v>M</v>
      </c>
      <c r="H95" s="31">
        <v>35961</v>
      </c>
      <c r="I95" s="6">
        <f ca="1"/>
        <v>28</v>
      </c>
      <c r="J95" s="31">
        <f ca="1"/>
        <v>46553</v>
      </c>
      <c r="K95" s="6">
        <f ca="1"/>
        <v>2</v>
      </c>
      <c r="L95" s="6" t="str">
        <f ca="1"/>
        <v>teisipäev</v>
      </c>
      <c r="M95" s="77">
        <v>180.25641025641016</v>
      </c>
    </row>
    <row r="96" spans="2:13" x14ac:dyDescent="0.3">
      <c r="B96" s="68" t="s">
        <v>482</v>
      </c>
      <c r="C96" s="6" t="s">
        <v>483</v>
      </c>
      <c r="D96" s="34" t="s">
        <v>295</v>
      </c>
      <c r="E96" s="34" t="s">
        <v>355</v>
      </c>
      <c r="F96" s="69">
        <v>1540</v>
      </c>
      <c r="G96" s="76" t="str">
        <v>M</v>
      </c>
      <c r="H96" s="31">
        <v>36209</v>
      </c>
      <c r="I96" s="6">
        <f ca="1"/>
        <v>27</v>
      </c>
      <c r="J96" s="31">
        <f ca="1"/>
        <v>46436</v>
      </c>
      <c r="K96" s="6">
        <f ca="1"/>
        <v>4</v>
      </c>
      <c r="L96" s="6" t="str">
        <f ca="1"/>
        <v>neljapäev</v>
      </c>
      <c r="M96" s="77">
        <v>113.33333333333326</v>
      </c>
    </row>
    <row r="97" spans="2:13" x14ac:dyDescent="0.3">
      <c r="B97" s="68" t="s">
        <v>484</v>
      </c>
      <c r="C97" s="6" t="s">
        <v>485</v>
      </c>
      <c r="D97" s="34" t="s">
        <v>298</v>
      </c>
      <c r="E97" s="34" t="s">
        <v>333</v>
      </c>
      <c r="F97" s="69">
        <v>1460</v>
      </c>
      <c r="G97" s="76" t="str">
        <v>M</v>
      </c>
      <c r="H97" s="31">
        <v>36264</v>
      </c>
      <c r="I97" s="6">
        <f ca="1"/>
        <v>27</v>
      </c>
      <c r="J97" s="31">
        <f ca="1"/>
        <v>46491</v>
      </c>
      <c r="K97" s="6">
        <f ca="1"/>
        <v>3</v>
      </c>
      <c r="L97" s="6" t="str">
        <f ca="1"/>
        <v>kolmapäev</v>
      </c>
      <c r="M97" s="77">
        <v>254.28571428571422</v>
      </c>
    </row>
    <row r="98" spans="2:13" x14ac:dyDescent="0.3">
      <c r="B98" s="68" t="s">
        <v>486</v>
      </c>
      <c r="C98" s="6" t="s">
        <v>487</v>
      </c>
      <c r="D98" s="34" t="s">
        <v>296</v>
      </c>
      <c r="E98" s="34" t="s">
        <v>313</v>
      </c>
      <c r="F98" s="69">
        <v>1520</v>
      </c>
      <c r="G98" s="76" t="str">
        <v>M</v>
      </c>
      <c r="H98" s="31">
        <v>36609</v>
      </c>
      <c r="I98" s="6">
        <f ca="1"/>
        <v>26</v>
      </c>
      <c r="J98" s="31">
        <f ca="1"/>
        <v>46470</v>
      </c>
      <c r="K98" s="6">
        <f ca="1"/>
        <v>3</v>
      </c>
      <c r="L98" s="6" t="str">
        <f ca="1"/>
        <v>kolmapäev</v>
      </c>
      <c r="M98" s="77">
        <v>19.743589743589837</v>
      </c>
    </row>
    <row r="99" spans="2:13" x14ac:dyDescent="0.3">
      <c r="B99" s="68" t="s">
        <v>488</v>
      </c>
      <c r="C99" s="6" t="s">
        <v>489</v>
      </c>
      <c r="D99" s="34" t="s">
        <v>296</v>
      </c>
      <c r="E99" s="34" t="s">
        <v>313</v>
      </c>
      <c r="F99" s="69">
        <v>1100</v>
      </c>
      <c r="G99" s="76" t="str">
        <v>N</v>
      </c>
      <c r="H99" s="31">
        <v>36667</v>
      </c>
      <c r="I99" s="6">
        <f ca="1"/>
        <v>26</v>
      </c>
      <c r="J99" s="31">
        <f ca="1"/>
        <v>46528</v>
      </c>
      <c r="K99" s="6">
        <f ca="1"/>
        <v>5</v>
      </c>
      <c r="L99" s="6" t="str">
        <f ca="1"/>
        <v>reede</v>
      </c>
      <c r="M99" s="77">
        <v>439.74358974358984</v>
      </c>
    </row>
    <row r="100" spans="2:13" x14ac:dyDescent="0.3">
      <c r="B100" s="68" t="s">
        <v>490</v>
      </c>
      <c r="C100" s="6" t="s">
        <v>491</v>
      </c>
      <c r="D100" s="34" t="s">
        <v>296</v>
      </c>
      <c r="E100" s="34" t="s">
        <v>313</v>
      </c>
      <c r="F100" s="69">
        <v>1420</v>
      </c>
      <c r="G100" s="76" t="str">
        <v>M</v>
      </c>
      <c r="H100" s="31">
        <v>36703</v>
      </c>
      <c r="I100" s="6">
        <f ca="1"/>
        <v>26</v>
      </c>
      <c r="J100" s="31">
        <f ca="1"/>
        <v>46564</v>
      </c>
      <c r="K100" s="6">
        <f ca="1"/>
        <v>6</v>
      </c>
      <c r="L100" s="6" t="str">
        <f ca="1"/>
        <v>laupäev</v>
      </c>
      <c r="M100" s="77">
        <v>119.74358974358984</v>
      </c>
    </row>
    <row r="101" spans="2:13" x14ac:dyDescent="0.3">
      <c r="B101" s="68" t="s">
        <v>492</v>
      </c>
      <c r="C101" s="6" t="s">
        <v>493</v>
      </c>
      <c r="D101" s="34" t="s">
        <v>298</v>
      </c>
      <c r="E101" s="34" t="s">
        <v>333</v>
      </c>
      <c r="F101" s="69">
        <v>1400</v>
      </c>
      <c r="G101" s="76" t="str">
        <v>M</v>
      </c>
      <c r="H101" s="31">
        <v>36948</v>
      </c>
      <c r="I101" s="6">
        <f ca="1"/>
        <v>25</v>
      </c>
      <c r="J101" s="31">
        <f ca="1"/>
        <v>46444</v>
      </c>
      <c r="K101" s="6">
        <f ca="1"/>
        <v>5</v>
      </c>
      <c r="L101" s="6" t="str">
        <f ca="1"/>
        <v>reede</v>
      </c>
      <c r="M101" s="77">
        <v>314.28571428571422</v>
      </c>
    </row>
    <row r="102" spans="2:13" x14ac:dyDescent="0.3">
      <c r="B102" s="68" t="s">
        <v>494</v>
      </c>
      <c r="C102" s="6" t="s">
        <v>495</v>
      </c>
      <c r="D102" s="34" t="s">
        <v>299</v>
      </c>
      <c r="E102" s="34" t="s">
        <v>324</v>
      </c>
      <c r="F102" s="69">
        <v>1020</v>
      </c>
      <c r="G102" s="76" t="str">
        <v>N</v>
      </c>
      <c r="H102" s="31">
        <v>36965</v>
      </c>
      <c r="I102" s="6">
        <f ca="1"/>
        <v>25</v>
      </c>
      <c r="J102" s="31">
        <f ca="1"/>
        <v>46461</v>
      </c>
      <c r="K102" s="6">
        <f ca="1"/>
        <v>1</v>
      </c>
      <c r="L102" s="6" t="str">
        <f ca="1"/>
        <v>esmaspäev</v>
      </c>
      <c r="M102" s="77">
        <v>560</v>
      </c>
    </row>
    <row r="103" spans="2:13" x14ac:dyDescent="0.3">
      <c r="B103" s="68" t="s">
        <v>496</v>
      </c>
      <c r="C103" s="6" t="s">
        <v>497</v>
      </c>
      <c r="D103" s="34" t="s">
        <v>296</v>
      </c>
      <c r="E103" s="34" t="s">
        <v>313</v>
      </c>
      <c r="F103" s="69">
        <v>1140</v>
      </c>
      <c r="G103" s="76" t="str">
        <v>N</v>
      </c>
      <c r="H103" s="31">
        <v>37092</v>
      </c>
      <c r="I103" s="6">
        <f ca="1"/>
        <v>25</v>
      </c>
      <c r="J103" s="31">
        <f ca="1"/>
        <v>46588</v>
      </c>
      <c r="K103" s="6">
        <f ca="1"/>
        <v>2</v>
      </c>
      <c r="L103" s="6" t="str">
        <f ca="1"/>
        <v>teisipäev</v>
      </c>
      <c r="M103" s="77">
        <v>399.74358974358984</v>
      </c>
    </row>
    <row r="104" spans="2:13" x14ac:dyDescent="0.3">
      <c r="B104" s="68" t="s">
        <v>498</v>
      </c>
      <c r="C104" s="6" t="s">
        <v>499</v>
      </c>
      <c r="D104" s="34" t="s">
        <v>296</v>
      </c>
      <c r="E104" s="34" t="s">
        <v>313</v>
      </c>
      <c r="F104" s="69">
        <v>1300</v>
      </c>
      <c r="G104" s="76" t="str">
        <v>M</v>
      </c>
      <c r="H104" s="31">
        <v>37207</v>
      </c>
      <c r="I104" s="6">
        <f ca="1"/>
        <v>24</v>
      </c>
      <c r="J104" s="31">
        <f ca="1"/>
        <v>46703</v>
      </c>
      <c r="K104" s="6">
        <f ca="1"/>
        <v>5</v>
      </c>
      <c r="L104" s="6" t="str">
        <f ca="1"/>
        <v>reede</v>
      </c>
      <c r="M104" s="77">
        <v>239.74358974358984</v>
      </c>
    </row>
    <row r="105" spans="2:13" x14ac:dyDescent="0.3">
      <c r="B105" s="68" t="s">
        <v>500</v>
      </c>
      <c r="C105" s="6" t="s">
        <v>501</v>
      </c>
      <c r="D105" s="34" t="s">
        <v>296</v>
      </c>
      <c r="E105" s="34" t="s">
        <v>339</v>
      </c>
      <c r="F105" s="69">
        <v>1140</v>
      </c>
      <c r="G105" s="76" t="str">
        <v>M</v>
      </c>
      <c r="H105" s="31">
        <v>37340</v>
      </c>
      <c r="I105" s="6">
        <f ca="1"/>
        <v>24</v>
      </c>
      <c r="J105" s="31">
        <f ca="1"/>
        <v>46471</v>
      </c>
      <c r="K105" s="6">
        <f ca="1"/>
        <v>4</v>
      </c>
      <c r="L105" s="6" t="str">
        <f ca="1"/>
        <v>neljapäev</v>
      </c>
      <c r="M105" s="77">
        <v>399.74358974358984</v>
      </c>
    </row>
    <row r="106" spans="2:13" x14ac:dyDescent="0.3">
      <c r="B106" s="68" t="s">
        <v>502</v>
      </c>
      <c r="C106" s="6" t="s">
        <v>503</v>
      </c>
      <c r="D106" s="34" t="s">
        <v>298</v>
      </c>
      <c r="E106" s="34" t="s">
        <v>333</v>
      </c>
      <c r="F106" s="69">
        <v>1300</v>
      </c>
      <c r="G106" s="76" t="str">
        <v>M</v>
      </c>
      <c r="H106" s="31">
        <v>37359</v>
      </c>
      <c r="I106" s="6">
        <f ca="1"/>
        <v>24</v>
      </c>
      <c r="J106" s="31">
        <f ca="1"/>
        <v>46490</v>
      </c>
      <c r="K106" s="6">
        <f ca="1"/>
        <v>2</v>
      </c>
      <c r="L106" s="6" t="str">
        <f ca="1"/>
        <v>teisipäev</v>
      </c>
      <c r="M106" s="77">
        <v>414.28571428571422</v>
      </c>
    </row>
    <row r="107" spans="2:13" x14ac:dyDescent="0.3">
      <c r="B107" s="68" t="s">
        <v>504</v>
      </c>
      <c r="C107" s="6" t="s">
        <v>505</v>
      </c>
      <c r="D107" s="34" t="s">
        <v>300</v>
      </c>
      <c r="E107" s="34" t="s">
        <v>313</v>
      </c>
      <c r="F107" s="69">
        <v>1000</v>
      </c>
      <c r="G107" s="76" t="str">
        <v>N</v>
      </c>
      <c r="H107" s="31">
        <v>37436</v>
      </c>
      <c r="I107" s="6">
        <f ca="1"/>
        <v>24</v>
      </c>
      <c r="J107" s="31">
        <f ca="1"/>
        <v>46567</v>
      </c>
      <c r="K107" s="6">
        <f ca="1"/>
        <v>2</v>
      </c>
      <c r="L107" s="6" t="str">
        <f ca="1"/>
        <v>teisipäev</v>
      </c>
      <c r="M107" s="77">
        <v>400</v>
      </c>
    </row>
    <row r="108" spans="2:13" x14ac:dyDescent="0.3">
      <c r="B108" s="68" t="s">
        <v>506</v>
      </c>
      <c r="C108" s="6" t="s">
        <v>507</v>
      </c>
      <c r="D108" s="34" t="s">
        <v>298</v>
      </c>
      <c r="E108" s="34" t="s">
        <v>324</v>
      </c>
      <c r="F108" s="69">
        <v>1160</v>
      </c>
      <c r="G108" s="76" t="str">
        <v>N</v>
      </c>
      <c r="H108" s="31">
        <v>37495</v>
      </c>
      <c r="I108" s="6">
        <f ca="1"/>
        <v>23</v>
      </c>
      <c r="J108" s="31">
        <f ca="1"/>
        <v>46626</v>
      </c>
      <c r="K108" s="6">
        <f ca="1"/>
        <v>5</v>
      </c>
      <c r="L108" s="6" t="str">
        <f ca="1"/>
        <v>reede</v>
      </c>
      <c r="M108" s="77">
        <v>554.28571428571422</v>
      </c>
    </row>
    <row r="109" spans="2:13" x14ac:dyDescent="0.3">
      <c r="B109" s="68" t="s">
        <v>508</v>
      </c>
      <c r="C109" s="6" t="s">
        <v>509</v>
      </c>
      <c r="D109" s="34" t="s">
        <v>296</v>
      </c>
      <c r="E109" s="34" t="s">
        <v>313</v>
      </c>
      <c r="F109" s="69">
        <v>1140</v>
      </c>
      <c r="G109" s="76" t="str">
        <v>M</v>
      </c>
      <c r="H109" s="31">
        <v>37518</v>
      </c>
      <c r="I109" s="6">
        <f ca="1"/>
        <v>23</v>
      </c>
      <c r="J109" s="31">
        <f ca="1"/>
        <v>46649</v>
      </c>
      <c r="K109" s="6">
        <f ca="1"/>
        <v>7</v>
      </c>
      <c r="L109" s="6" t="str">
        <f ca="1"/>
        <v>pühapäev</v>
      </c>
      <c r="M109" s="77">
        <v>399.74358974358984</v>
      </c>
    </row>
    <row r="110" spans="2:13" x14ac:dyDescent="0.3">
      <c r="B110" s="68" t="s">
        <v>510</v>
      </c>
      <c r="C110" s="6" t="s">
        <v>511</v>
      </c>
      <c r="D110" s="34" t="s">
        <v>300</v>
      </c>
      <c r="E110" s="34" t="s">
        <v>313</v>
      </c>
      <c r="F110" s="69">
        <v>1020</v>
      </c>
      <c r="G110" s="76" t="str">
        <v>M</v>
      </c>
      <c r="H110" s="31">
        <v>37574</v>
      </c>
      <c r="I110" s="6">
        <f ca="1"/>
        <v>23</v>
      </c>
      <c r="J110" s="31">
        <f ca="1"/>
        <v>46705</v>
      </c>
      <c r="K110" s="6">
        <f ca="1"/>
        <v>7</v>
      </c>
      <c r="L110" s="6" t="str">
        <f ca="1"/>
        <v>pühapäev</v>
      </c>
      <c r="M110" s="77">
        <v>380</v>
      </c>
    </row>
    <row r="111" spans="2:13" x14ac:dyDescent="0.3">
      <c r="B111" s="68" t="s">
        <v>512</v>
      </c>
      <c r="C111" s="6" t="s">
        <v>513</v>
      </c>
      <c r="D111" s="34" t="s">
        <v>295</v>
      </c>
      <c r="E111" s="34" t="s">
        <v>355</v>
      </c>
      <c r="F111" s="69">
        <v>1540</v>
      </c>
      <c r="G111" s="76" t="str">
        <v>M</v>
      </c>
      <c r="H111" s="31">
        <v>37604</v>
      </c>
      <c r="I111" s="6">
        <f ca="1"/>
        <v>23</v>
      </c>
      <c r="J111" s="31">
        <f ca="1"/>
        <v>46735</v>
      </c>
      <c r="K111" s="6">
        <f ca="1"/>
        <v>2</v>
      </c>
      <c r="L111" s="6" t="str">
        <f ca="1"/>
        <v>teisipäev</v>
      </c>
      <c r="M111" s="77">
        <v>113.33333333333326</v>
      </c>
    </row>
    <row r="112" spans="2:13" x14ac:dyDescent="0.3">
      <c r="B112" s="68" t="s">
        <v>514</v>
      </c>
      <c r="C112" s="6" t="s">
        <v>515</v>
      </c>
      <c r="D112" s="34" t="s">
        <v>298</v>
      </c>
      <c r="E112" s="34" t="s">
        <v>333</v>
      </c>
      <c r="F112" s="69">
        <v>1540</v>
      </c>
      <c r="G112" s="76" t="str">
        <v>M</v>
      </c>
      <c r="H112" s="31">
        <v>37626</v>
      </c>
      <c r="I112" s="6">
        <f ca="1"/>
        <v>23</v>
      </c>
      <c r="J112" s="31">
        <f ca="1"/>
        <v>46392</v>
      </c>
      <c r="K112" s="6">
        <f ca="1"/>
        <v>2</v>
      </c>
      <c r="L112" s="6" t="str">
        <f ca="1"/>
        <v>teisipäev</v>
      </c>
      <c r="M112" s="77">
        <v>174.28571428571422</v>
      </c>
    </row>
    <row r="113" spans="2:13" x14ac:dyDescent="0.3">
      <c r="B113" s="68" t="s">
        <v>516</v>
      </c>
      <c r="C113" s="6" t="s">
        <v>517</v>
      </c>
      <c r="D113" s="34" t="s">
        <v>299</v>
      </c>
      <c r="E113" s="34" t="s">
        <v>324</v>
      </c>
      <c r="F113" s="69">
        <v>1020</v>
      </c>
      <c r="G113" s="76" t="str">
        <v>N</v>
      </c>
      <c r="H113" s="31">
        <v>37689</v>
      </c>
      <c r="I113" s="6">
        <f ca="1"/>
        <v>23</v>
      </c>
      <c r="J113" s="31">
        <f ca="1"/>
        <v>46455</v>
      </c>
      <c r="K113" s="6">
        <f ca="1"/>
        <v>2</v>
      </c>
      <c r="L113" s="6" t="str">
        <f ca="1"/>
        <v>teisipäev</v>
      </c>
      <c r="M113" s="77">
        <v>560</v>
      </c>
    </row>
    <row r="114" spans="2:13" x14ac:dyDescent="0.3">
      <c r="B114" s="68" t="s">
        <v>518</v>
      </c>
      <c r="C114" s="6" t="s">
        <v>519</v>
      </c>
      <c r="D114" s="32" t="s">
        <v>296</v>
      </c>
      <c r="E114" s="32" t="s">
        <v>313</v>
      </c>
      <c r="F114" s="69">
        <v>1740</v>
      </c>
      <c r="G114" s="76" t="str">
        <v>M</v>
      </c>
      <c r="H114" s="31">
        <v>38339</v>
      </c>
      <c r="I114" s="6">
        <f ca="1"/>
        <v>21</v>
      </c>
      <c r="J114" s="31">
        <f ca="1"/>
        <v>46739</v>
      </c>
      <c r="K114" s="6">
        <f ca="1"/>
        <v>6</v>
      </c>
      <c r="L114" s="6" t="str">
        <f ca="1"/>
        <v>laupäev</v>
      </c>
      <c r="M114" s="77">
        <v>200.25641025641016</v>
      </c>
    </row>
    <row r="115" spans="2:13" x14ac:dyDescent="0.3">
      <c r="B115" s="68" t="s">
        <v>520</v>
      </c>
      <c r="C115" s="6" t="s">
        <v>521</v>
      </c>
      <c r="D115" s="34" t="s">
        <v>298</v>
      </c>
      <c r="E115" s="34" t="s">
        <v>324</v>
      </c>
      <c r="F115" s="69">
        <v>1140</v>
      </c>
      <c r="G115" s="76" t="str">
        <v>N</v>
      </c>
      <c r="H115" s="31">
        <v>36951</v>
      </c>
      <c r="I115" s="6">
        <f ca="1"/>
        <v>25</v>
      </c>
      <c r="J115" s="31">
        <f ca="1"/>
        <v>46447</v>
      </c>
      <c r="K115" s="6">
        <f ca="1"/>
        <v>1</v>
      </c>
      <c r="L115" s="6" t="str">
        <f ca="1"/>
        <v>esmaspäev</v>
      </c>
      <c r="M115" s="77">
        <v>574.28571428571422</v>
      </c>
    </row>
    <row r="116" spans="2:13" ht="15" thickBot="1" x14ac:dyDescent="0.35">
      <c r="B116" s="70" t="s">
        <v>522</v>
      </c>
      <c r="C116" s="71" t="s">
        <v>523</v>
      </c>
      <c r="D116" s="72" t="s">
        <v>298</v>
      </c>
      <c r="E116" s="72" t="s">
        <v>324</v>
      </c>
      <c r="F116" s="73">
        <v>1300</v>
      </c>
      <c r="G116" s="78" t="str">
        <v>N</v>
      </c>
      <c r="H116" s="79">
        <v>37584</v>
      </c>
      <c r="I116" s="71">
        <f ca="1"/>
        <v>23</v>
      </c>
      <c r="J116" s="79">
        <f ca="1"/>
        <v>46715</v>
      </c>
      <c r="K116" s="71">
        <f ca="1"/>
        <v>3</v>
      </c>
      <c r="L116" s="71" t="str">
        <f ca="1"/>
        <v>kolmapäev</v>
      </c>
      <c r="M116" s="80">
        <v>414.28571428571422</v>
      </c>
    </row>
    <row r="122" spans="2:13" x14ac:dyDescent="0.3">
      <c r="B122" s="35"/>
    </row>
    <row r="123" spans="2:13" x14ac:dyDescent="0.3">
      <c r="B123" s="35"/>
    </row>
    <row r="124" spans="2:13" x14ac:dyDescent="0.3">
      <c r="B124" s="35"/>
    </row>
    <row r="125" spans="2:13" x14ac:dyDescent="0.3">
      <c r="B125" s="35"/>
    </row>
    <row r="126" spans="2:13" x14ac:dyDescent="0.3">
      <c r="B126" s="35"/>
    </row>
    <row r="127" spans="2:13" x14ac:dyDescent="0.3">
      <c r="B127" s="35"/>
    </row>
    <row r="128" spans="2:13" x14ac:dyDescent="0.3">
      <c r="B128" s="35"/>
    </row>
    <row r="129" spans="2:2" x14ac:dyDescent="0.3">
      <c r="B129" s="35"/>
    </row>
    <row r="130" spans="2:2" x14ac:dyDescent="0.3">
      <c r="B130" s="35"/>
    </row>
    <row r="131" spans="2:2" x14ac:dyDescent="0.3">
      <c r="B131" s="35"/>
    </row>
    <row r="132" spans="2:2" x14ac:dyDescent="0.3">
      <c r="B132" s="35"/>
    </row>
    <row r="133" spans="2:2" x14ac:dyDescent="0.3">
      <c r="B133" s="35"/>
    </row>
    <row r="134" spans="2:2" x14ac:dyDescent="0.3">
      <c r="B134" s="35"/>
    </row>
    <row r="135" spans="2:2" x14ac:dyDescent="0.3">
      <c r="B135" s="35"/>
    </row>
    <row r="136" spans="2:2" x14ac:dyDescent="0.3">
      <c r="B136" s="35"/>
    </row>
    <row r="137" spans="2:2" x14ac:dyDescent="0.3">
      <c r="B137" s="35"/>
    </row>
    <row r="138" spans="2:2" x14ac:dyDescent="0.3">
      <c r="B138" s="35"/>
    </row>
  </sheetData>
  <mergeCells count="3">
    <mergeCell ref="G1:L5"/>
    <mergeCell ref="B16:F16"/>
    <mergeCell ref="G16:M16"/>
  </mergeCells>
  <dataValidations count="1">
    <dataValidation type="whole" operator="equal" showInputMessage="1" showErrorMessage="1" sqref="C8:L15 B15" xr:uid="{361B4A90-6F55-47DF-BB34-DDB42CCB1F28}">
      <formula1>13</formula1>
    </dataValidation>
  </dataValidations>
  <hyperlinks>
    <hyperlink ref="B3" location="Personal!B16:F116" display="Personal!B16:F116" xr:uid="{CA5988FB-6547-4B42-9AEA-41FE3199A59B}"/>
    <hyperlink ref="C3" location="Personal!G18:M116" display="Personal!G18:M116" xr:uid="{87E605A4-5E6C-4B3A-AB0A-70CB2FAFA5FC}"/>
    <hyperlink ref="D3" location="Personal!J7:O14" display="Personal!J7:O14" xr:uid="{21E57D69-A52C-4398-A929-B0A10D66B28C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1412-998C-4340-A696-709626B07591}">
  <dimension ref="A1:G41"/>
  <sheetViews>
    <sheetView tabSelected="1" topLeftCell="A2" zoomScale="61" zoomScaleNormal="85" workbookViewId="0">
      <selection activeCell="P14" sqref="P14"/>
    </sheetView>
  </sheetViews>
  <sheetFormatPr defaultRowHeight="14.4" x14ac:dyDescent="0.3"/>
  <cols>
    <col min="2" max="2" width="13.88671875" customWidth="1"/>
    <col min="3" max="3" width="11.6640625" customWidth="1"/>
    <col min="4" max="4" width="37.33203125" customWidth="1"/>
    <col min="5" max="5" width="35.88671875" bestFit="1" customWidth="1"/>
    <col min="6" max="6" width="28.6640625" bestFit="1" customWidth="1"/>
    <col min="7" max="7" width="27.33203125" bestFit="1" customWidth="1"/>
    <col min="9" max="9" width="12.109375" bestFit="1" customWidth="1"/>
  </cols>
  <sheetData>
    <row r="1" spans="2:7" x14ac:dyDescent="0.3">
      <c r="D1" s="109" t="s">
        <v>554</v>
      </c>
      <c r="E1" s="110"/>
      <c r="F1" s="110"/>
      <c r="G1" s="111"/>
    </row>
    <row r="2" spans="2:7" x14ac:dyDescent="0.3">
      <c r="D2" s="112"/>
      <c r="E2" s="113"/>
      <c r="F2" s="113"/>
      <c r="G2" s="114"/>
    </row>
    <row r="3" spans="2:7" x14ac:dyDescent="0.3">
      <c r="D3" s="112"/>
      <c r="E3" s="113"/>
      <c r="F3" s="113"/>
      <c r="G3" s="114"/>
    </row>
    <row r="4" spans="2:7" x14ac:dyDescent="0.3">
      <c r="D4" s="112"/>
      <c r="E4" s="113"/>
      <c r="F4" s="113"/>
      <c r="G4" s="114"/>
    </row>
    <row r="5" spans="2:7" ht="15" thickBot="1" x14ac:dyDescent="0.35">
      <c r="D5" s="115"/>
      <c r="E5" s="116"/>
      <c r="F5" s="116"/>
      <c r="G5" s="117"/>
    </row>
    <row r="6" spans="2:7" x14ac:dyDescent="0.3">
      <c r="B6" s="45"/>
    </row>
    <row r="7" spans="2:7" ht="15" thickBot="1" x14ac:dyDescent="0.35">
      <c r="B7" s="45"/>
    </row>
    <row r="8" spans="2:7" ht="15" thickBot="1" x14ac:dyDescent="0.35">
      <c r="B8" s="45"/>
      <c r="F8" s="58" t="s">
        <v>540</v>
      </c>
    </row>
    <row r="9" spans="2:7" ht="15" thickBot="1" x14ac:dyDescent="0.35">
      <c r="B9" s="45"/>
      <c r="F9" s="57" t="s">
        <v>537</v>
      </c>
    </row>
    <row r="10" spans="2:7" x14ac:dyDescent="0.3">
      <c r="B10" s="45"/>
    </row>
    <row r="11" spans="2:7" x14ac:dyDescent="0.3">
      <c r="B11" s="45"/>
    </row>
    <row r="12" spans="2:7" x14ac:dyDescent="0.3">
      <c r="B12" s="45"/>
    </row>
    <row r="13" spans="2:7" ht="15.6" x14ac:dyDescent="0.3">
      <c r="B13" s="3"/>
    </row>
    <row r="14" spans="2:7" ht="15" thickBot="1" x14ac:dyDescent="0.35"/>
    <row r="15" spans="2:7" ht="15" thickBot="1" x14ac:dyDescent="0.35">
      <c r="D15" s="36" t="s">
        <v>565</v>
      </c>
      <c r="E15" s="37">
        <f>(B30/2+SUM(B31:B39)+B40/2)/10</f>
        <v>2885357.75</v>
      </c>
    </row>
    <row r="16" spans="2:7" ht="15" thickBot="1" x14ac:dyDescent="0.35">
      <c r="D16" s="36" t="s">
        <v>566</v>
      </c>
      <c r="E16" s="38">
        <f>(C30/2+SUM(C31:C39)+C40/2)/10</f>
        <v>4708766.0999999996</v>
      </c>
    </row>
    <row r="18" spans="1:5" x14ac:dyDescent="0.3">
      <c r="A18" s="118" t="s">
        <v>561</v>
      </c>
      <c r="B18" s="118"/>
      <c r="C18" s="118"/>
      <c r="D18" s="118" t="s">
        <v>562</v>
      </c>
      <c r="E18" s="118"/>
    </row>
    <row r="19" spans="1:5" x14ac:dyDescent="0.3">
      <c r="A19" s="88" t="s">
        <v>524</v>
      </c>
      <c r="B19" s="88" t="s">
        <v>525</v>
      </c>
      <c r="C19" s="89" t="s">
        <v>526</v>
      </c>
      <c r="D19" s="90" t="s">
        <v>563</v>
      </c>
      <c r="E19" s="90" t="s">
        <v>564</v>
      </c>
    </row>
    <row r="20" spans="1:5" x14ac:dyDescent="0.3">
      <c r="A20" s="22" cm="1">
        <f t="array" ref="A20:A41">TRANSPOSE(Eurostat!B4:W4)</f>
        <v>2000</v>
      </c>
      <c r="B20" s="23" cm="1">
        <f t="array" ref="B20:B41">TRANSPOSE(Albania)</f>
        <v>3057026</v>
      </c>
      <c r="C20" s="24" cm="1">
        <f t="array" ref="C20:C41">TRANSPOSE(Ireland)</f>
        <v>3777565</v>
      </c>
      <c r="D20" s="16"/>
      <c r="E20" s="16"/>
    </row>
    <row r="21" spans="1:5" x14ac:dyDescent="0.3">
      <c r="A21" s="22">
        <v>2001</v>
      </c>
      <c r="B21" s="23">
        <v>3063320</v>
      </c>
      <c r="C21" s="24">
        <v>3832783</v>
      </c>
      <c r="D21" s="16">
        <f>(B21-B20)/B20</f>
        <v>2.0588637453525091E-3</v>
      </c>
      <c r="E21" s="16">
        <f>(C21-C20)/C20</f>
        <v>1.4617352712660139E-2</v>
      </c>
    </row>
    <row r="22" spans="1:5" x14ac:dyDescent="0.3">
      <c r="A22" s="22">
        <v>2002</v>
      </c>
      <c r="B22" s="23">
        <v>3057018</v>
      </c>
      <c r="C22" s="24">
        <v>3899702</v>
      </c>
      <c r="D22" s="16">
        <f t="shared" ref="D22:D41" si="0">(B22-B21)/B21</f>
        <v>-2.0572450805008947E-3</v>
      </c>
      <c r="E22" s="16">
        <f t="shared" ref="E22:E41" si="1">(C22-C21)/C21</f>
        <v>1.7459637031368592E-2</v>
      </c>
    </row>
    <row r="23" spans="1:5" x14ac:dyDescent="0.3">
      <c r="A23" s="22">
        <v>2003</v>
      </c>
      <c r="B23" s="23">
        <v>3044993</v>
      </c>
      <c r="C23" s="24">
        <v>3964191</v>
      </c>
      <c r="D23" s="16">
        <f t="shared" si="0"/>
        <v>-3.9335718664397787E-3</v>
      </c>
      <c r="E23" s="16">
        <f t="shared" si="1"/>
        <v>1.6536904614762871E-2</v>
      </c>
    </row>
    <row r="24" spans="1:5" x14ac:dyDescent="0.3">
      <c r="A24" s="22">
        <v>2004</v>
      </c>
      <c r="B24" s="23">
        <v>3034231</v>
      </c>
      <c r="C24" s="24">
        <v>4028851</v>
      </c>
      <c r="D24" s="16">
        <f t="shared" si="0"/>
        <v>-3.5343266798971294E-3</v>
      </c>
      <c r="E24" s="16">
        <f t="shared" si="1"/>
        <v>1.6311020331765045E-2</v>
      </c>
    </row>
    <row r="25" spans="1:5" x14ac:dyDescent="0.3">
      <c r="A25" s="22">
        <v>2005</v>
      </c>
      <c r="B25" s="23">
        <v>3019634</v>
      </c>
      <c r="C25" s="24">
        <v>4111672</v>
      </c>
      <c r="D25" s="16">
        <f t="shared" si="0"/>
        <v>-4.8107741302491468E-3</v>
      </c>
      <c r="E25" s="16">
        <f t="shared" si="1"/>
        <v>2.0556977659387254E-2</v>
      </c>
    </row>
    <row r="26" spans="1:5" x14ac:dyDescent="0.3">
      <c r="A26" s="22">
        <v>2006</v>
      </c>
      <c r="B26" s="23">
        <v>3003329</v>
      </c>
      <c r="C26" s="24">
        <v>4208156</v>
      </c>
      <c r="D26" s="16">
        <f t="shared" si="0"/>
        <v>-5.3996610185207874E-3</v>
      </c>
      <c r="E26" s="16">
        <f t="shared" si="1"/>
        <v>2.3465879574051628E-2</v>
      </c>
    </row>
    <row r="27" spans="1:5" x14ac:dyDescent="0.3">
      <c r="A27" s="22">
        <v>2007</v>
      </c>
      <c r="B27" s="23">
        <v>2981755</v>
      </c>
      <c r="C27" s="24">
        <v>4340118</v>
      </c>
      <c r="D27" s="16">
        <f t="shared" si="0"/>
        <v>-7.1833621957501162E-3</v>
      </c>
      <c r="E27" s="16">
        <f t="shared" si="1"/>
        <v>3.1358628339823905E-2</v>
      </c>
    </row>
    <row r="28" spans="1:5" x14ac:dyDescent="0.3">
      <c r="A28" s="22">
        <v>2008</v>
      </c>
      <c r="B28" s="23">
        <v>2958266</v>
      </c>
      <c r="C28" s="24">
        <v>4457765</v>
      </c>
      <c r="D28" s="16">
        <f t="shared" si="0"/>
        <v>-7.8775754547238119E-3</v>
      </c>
      <c r="E28" s="16">
        <f t="shared" si="1"/>
        <v>2.7106866679661706E-2</v>
      </c>
    </row>
    <row r="29" spans="1:5" x14ac:dyDescent="0.3">
      <c r="A29" s="22">
        <v>2009</v>
      </c>
      <c r="B29" s="23">
        <v>2936355</v>
      </c>
      <c r="C29" s="24">
        <v>4521322</v>
      </c>
      <c r="D29" s="16">
        <f t="shared" si="0"/>
        <v>-7.406703792018703E-3</v>
      </c>
      <c r="E29" s="16">
        <f t="shared" si="1"/>
        <v>1.4257593210947639E-2</v>
      </c>
    </row>
    <row r="30" spans="1:5" x14ac:dyDescent="0.3">
      <c r="A30" s="22">
        <v>2010</v>
      </c>
      <c r="B30" s="23">
        <v>2918674</v>
      </c>
      <c r="C30" s="24">
        <v>4549428</v>
      </c>
      <c r="D30" s="16">
        <f t="shared" si="0"/>
        <v>-6.0214108988865447E-3</v>
      </c>
      <c r="E30" s="16">
        <f t="shared" si="1"/>
        <v>6.2163234558388009E-3</v>
      </c>
    </row>
    <row r="31" spans="1:5" x14ac:dyDescent="0.3">
      <c r="A31" s="22">
        <v>2011</v>
      </c>
      <c r="B31" s="23">
        <v>2907361</v>
      </c>
      <c r="C31" s="24">
        <v>4570881</v>
      </c>
      <c r="D31" s="16">
        <f t="shared" si="0"/>
        <v>-3.8760752314235848E-3</v>
      </c>
      <c r="E31" s="16">
        <f t="shared" si="1"/>
        <v>4.7155378654195647E-3</v>
      </c>
    </row>
    <row r="32" spans="1:5" x14ac:dyDescent="0.3">
      <c r="A32" s="22">
        <v>2012</v>
      </c>
      <c r="B32" s="23">
        <v>2903008</v>
      </c>
      <c r="C32" s="24">
        <v>4589287</v>
      </c>
      <c r="D32" s="16">
        <f t="shared" si="0"/>
        <v>-1.4972340896090991E-3</v>
      </c>
      <c r="E32" s="16">
        <f t="shared" si="1"/>
        <v>4.026794834518772E-3</v>
      </c>
    </row>
    <row r="33" spans="1:5" x14ac:dyDescent="0.3">
      <c r="A33" s="22">
        <v>2013</v>
      </c>
      <c r="B33" s="23">
        <v>2897770</v>
      </c>
      <c r="C33" s="24">
        <v>4609779</v>
      </c>
      <c r="D33" s="16">
        <f t="shared" si="0"/>
        <v>-1.8043353652487351E-3</v>
      </c>
      <c r="E33" s="16">
        <f t="shared" si="1"/>
        <v>4.4651816284316057E-3</v>
      </c>
    </row>
    <row r="34" spans="1:5" x14ac:dyDescent="0.3">
      <c r="A34" s="22">
        <v>2014</v>
      </c>
      <c r="B34" s="23">
        <v>2892394</v>
      </c>
      <c r="C34" s="24">
        <v>4637852</v>
      </c>
      <c r="D34" s="16">
        <f t="shared" si="0"/>
        <v>-1.8552197034271182E-3</v>
      </c>
      <c r="E34" s="16">
        <f t="shared" si="1"/>
        <v>6.089879796840586E-3</v>
      </c>
    </row>
    <row r="35" spans="1:5" x14ac:dyDescent="0.3">
      <c r="A35" s="22">
        <v>2015</v>
      </c>
      <c r="B35" s="23">
        <v>2885796</v>
      </c>
      <c r="C35" s="24">
        <v>4677627</v>
      </c>
      <c r="D35" s="16">
        <f t="shared" si="0"/>
        <v>-2.2811553336094599E-3</v>
      </c>
      <c r="E35" s="16">
        <f t="shared" si="1"/>
        <v>8.576168450394708E-3</v>
      </c>
    </row>
    <row r="36" spans="1:5" x14ac:dyDescent="0.3">
      <c r="A36" s="22">
        <v>2016</v>
      </c>
      <c r="B36" s="23">
        <v>2875592</v>
      </c>
      <c r="C36" s="24">
        <v>4726286</v>
      </c>
      <c r="D36" s="16">
        <f t="shared" si="0"/>
        <v>-3.5359394773573738E-3</v>
      </c>
      <c r="E36" s="16">
        <f t="shared" si="1"/>
        <v>1.0402496821572134E-2</v>
      </c>
    </row>
    <row r="37" spans="1:5" x14ac:dyDescent="0.3">
      <c r="A37" s="22">
        <v>2017</v>
      </c>
      <c r="B37" s="23">
        <v>2876591</v>
      </c>
      <c r="C37" s="24">
        <v>4784383</v>
      </c>
      <c r="D37" s="16">
        <f t="shared" si="0"/>
        <v>3.4740672529343526E-4</v>
      </c>
      <c r="E37" s="16">
        <f t="shared" si="1"/>
        <v>1.2292315784529332E-2</v>
      </c>
    </row>
    <row r="38" spans="1:5" x14ac:dyDescent="0.3">
      <c r="A38" s="22">
        <v>2018</v>
      </c>
      <c r="B38" s="23">
        <v>2870324</v>
      </c>
      <c r="C38" s="24">
        <v>4830392</v>
      </c>
      <c r="D38" s="16">
        <f t="shared" si="0"/>
        <v>-2.1786204573399554E-3</v>
      </c>
      <c r="E38" s="16">
        <f t="shared" si="1"/>
        <v>9.6164960037689283E-3</v>
      </c>
    </row>
    <row r="39" spans="1:5" x14ac:dyDescent="0.3">
      <c r="A39" s="22">
        <v>2019</v>
      </c>
      <c r="B39" s="23">
        <v>2862427</v>
      </c>
      <c r="C39" s="24">
        <v>4904240</v>
      </c>
      <c r="D39" s="16">
        <f t="shared" si="0"/>
        <v>-2.7512573493445338E-3</v>
      </c>
      <c r="E39" s="16">
        <f t="shared" si="1"/>
        <v>1.5288200212322313E-2</v>
      </c>
    </row>
    <row r="40" spans="1:5" x14ac:dyDescent="0.3">
      <c r="A40" s="22">
        <v>2020</v>
      </c>
      <c r="B40" s="23">
        <v>2845955</v>
      </c>
      <c r="C40" s="24">
        <v>4964440</v>
      </c>
      <c r="D40" s="16">
        <f t="shared" si="0"/>
        <v>-5.7545572341233505E-3</v>
      </c>
      <c r="E40" s="16">
        <f t="shared" si="1"/>
        <v>1.2275092572957278E-2</v>
      </c>
    </row>
    <row r="41" spans="1:5" x14ac:dyDescent="0.3">
      <c r="A41" s="22">
        <v>2021</v>
      </c>
      <c r="B41" s="23">
        <v>2811667</v>
      </c>
      <c r="C41" s="24">
        <v>5033165</v>
      </c>
      <c r="D41" s="16">
        <f t="shared" si="0"/>
        <v>-1.2047976865410733E-2</v>
      </c>
      <c r="E41" s="16">
        <f t="shared" si="1"/>
        <v>1.384345464946701E-2</v>
      </c>
    </row>
  </sheetData>
  <mergeCells count="3">
    <mergeCell ref="D1:G5"/>
    <mergeCell ref="A18:C18"/>
    <mergeCell ref="D18:E18"/>
  </mergeCells>
  <dataValidations disablePrompts="1" count="1">
    <dataValidation type="whole" operator="equal" allowBlank="1" showInputMessage="1" showErrorMessage="1" sqref="B13" xr:uid="{E8EBF0CC-77BC-45F9-A7D3-0EC4179460C4}">
      <formula1>-5</formula1>
    </dataValidation>
  </dataValidations>
  <hyperlinks>
    <hyperlink ref="F9" location="Eurostat!A1" display="Eurostat!A1" xr:uid="{AE9432C3-1688-46BA-8CE9-C8C9415C9616}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D8740-B4A4-40D9-A442-35CAD03F02C6}">
  <sheetPr>
    <tabColor theme="0" tint="-0.34998626667073579"/>
  </sheetPr>
  <dimension ref="A1:W53"/>
  <sheetViews>
    <sheetView zoomScale="55" workbookViewId="0"/>
  </sheetViews>
  <sheetFormatPr defaultColWidth="8.77734375" defaultRowHeight="13.2" x14ac:dyDescent="0.25"/>
  <cols>
    <col min="1" max="1" width="21.21875" style="27" bestFit="1" customWidth="1"/>
    <col min="2" max="21" width="11.21875" style="27" bestFit="1" customWidth="1"/>
    <col min="22" max="22" width="12.44140625" style="27" customWidth="1"/>
    <col min="23" max="23" width="11.77734375" style="27" customWidth="1"/>
    <col min="24" max="16384" width="8.77734375" style="27"/>
  </cols>
  <sheetData>
    <row r="1" spans="1:23" ht="14.4" x14ac:dyDescent="0.3">
      <c r="A1" s="26" t="s">
        <v>268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pans="1:23" ht="14.4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 spans="1:23" ht="14.4" x14ac:dyDescent="0.3">
      <c r="A3" s="26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 spans="1:23" x14ac:dyDescent="0.25">
      <c r="A4" s="22" t="s">
        <v>269</v>
      </c>
      <c r="B4" s="22">
        <v>2000</v>
      </c>
      <c r="C4" s="22">
        <v>2001</v>
      </c>
      <c r="D4" s="22">
        <v>2002</v>
      </c>
      <c r="E4" s="22">
        <v>2003</v>
      </c>
      <c r="F4" s="22">
        <v>2004</v>
      </c>
      <c r="G4" s="22">
        <v>2005</v>
      </c>
      <c r="H4" s="22">
        <v>2006</v>
      </c>
      <c r="I4" s="22">
        <v>2007</v>
      </c>
      <c r="J4" s="22">
        <v>2008</v>
      </c>
      <c r="K4" s="22">
        <v>2009</v>
      </c>
      <c r="L4" s="22">
        <v>2010</v>
      </c>
      <c r="M4" s="22">
        <v>2011</v>
      </c>
      <c r="N4" s="22">
        <v>2012</v>
      </c>
      <c r="O4" s="22">
        <v>2013</v>
      </c>
      <c r="P4" s="22">
        <v>2014</v>
      </c>
      <c r="Q4" s="22">
        <v>2015</v>
      </c>
      <c r="R4" s="22">
        <v>2016</v>
      </c>
      <c r="S4" s="22">
        <v>2017</v>
      </c>
      <c r="T4" s="22">
        <v>2018</v>
      </c>
      <c r="U4" s="22">
        <v>2019</v>
      </c>
      <c r="V4" s="22">
        <v>2020</v>
      </c>
      <c r="W4" s="22">
        <v>2021</v>
      </c>
    </row>
    <row r="5" spans="1:23" x14ac:dyDescent="0.25">
      <c r="A5" s="22" t="s">
        <v>241</v>
      </c>
      <c r="B5" s="23">
        <v>10239085</v>
      </c>
      <c r="C5" s="23">
        <v>10263414</v>
      </c>
      <c r="D5" s="23">
        <v>10309725</v>
      </c>
      <c r="E5" s="23">
        <v>10355844</v>
      </c>
      <c r="F5" s="23">
        <v>10396421</v>
      </c>
      <c r="G5" s="23">
        <v>10445852</v>
      </c>
      <c r="H5" s="23">
        <v>10511382</v>
      </c>
      <c r="I5" s="23">
        <v>10584534</v>
      </c>
      <c r="J5" s="23">
        <v>10666866</v>
      </c>
      <c r="K5" s="23">
        <v>10753080</v>
      </c>
      <c r="L5" s="23">
        <v>10839905</v>
      </c>
      <c r="M5" s="23">
        <v>11000638</v>
      </c>
      <c r="N5" s="23">
        <v>11075889</v>
      </c>
      <c r="O5" s="23">
        <v>11137974</v>
      </c>
      <c r="P5" s="23">
        <v>11180840</v>
      </c>
      <c r="Q5" s="23">
        <v>11237274</v>
      </c>
      <c r="R5" s="23">
        <v>11311117</v>
      </c>
      <c r="S5" s="23">
        <v>11351727</v>
      </c>
      <c r="T5" s="23">
        <v>11398589</v>
      </c>
      <c r="U5" s="23">
        <v>11455519</v>
      </c>
      <c r="V5" s="23">
        <v>11522440</v>
      </c>
      <c r="W5" s="23">
        <v>11592952</v>
      </c>
    </row>
    <row r="6" spans="1:23" x14ac:dyDescent="0.25">
      <c r="A6" s="22" t="s">
        <v>242</v>
      </c>
      <c r="B6" s="23">
        <v>8190876</v>
      </c>
      <c r="C6" s="23">
        <v>8149468</v>
      </c>
      <c r="D6" s="23">
        <v>7868815</v>
      </c>
      <c r="E6" s="23">
        <v>7805506</v>
      </c>
      <c r="F6" s="23">
        <v>7745147</v>
      </c>
      <c r="G6" s="23">
        <v>7688573</v>
      </c>
      <c r="H6" s="23">
        <v>7629371</v>
      </c>
      <c r="I6" s="23">
        <v>7572673</v>
      </c>
      <c r="J6" s="23">
        <v>7518002</v>
      </c>
      <c r="K6" s="23">
        <v>7467119</v>
      </c>
      <c r="L6" s="23">
        <v>7421766</v>
      </c>
      <c r="M6" s="23">
        <v>7369431</v>
      </c>
      <c r="N6" s="23">
        <v>7327224</v>
      </c>
      <c r="O6" s="23">
        <v>7284552</v>
      </c>
      <c r="P6" s="23">
        <v>7245677</v>
      </c>
      <c r="Q6" s="23">
        <v>7202198</v>
      </c>
      <c r="R6" s="23">
        <v>7153784</v>
      </c>
      <c r="S6" s="23">
        <v>7101859</v>
      </c>
      <c r="T6" s="23">
        <v>7050034</v>
      </c>
      <c r="U6" s="23">
        <v>7000039</v>
      </c>
      <c r="V6" s="23">
        <v>6951482</v>
      </c>
      <c r="W6" s="23">
        <v>6877743</v>
      </c>
    </row>
    <row r="7" spans="1:23" x14ac:dyDescent="0.25">
      <c r="A7" s="22" t="s">
        <v>244</v>
      </c>
      <c r="B7" s="23">
        <v>10278098</v>
      </c>
      <c r="C7" s="23">
        <v>10232027</v>
      </c>
      <c r="D7" s="23">
        <v>10201182</v>
      </c>
      <c r="E7" s="23">
        <v>10192649</v>
      </c>
      <c r="F7" s="23">
        <v>10195347</v>
      </c>
      <c r="G7" s="23">
        <v>10198855</v>
      </c>
      <c r="H7" s="23">
        <v>10223577</v>
      </c>
      <c r="I7" s="23">
        <v>10254233</v>
      </c>
      <c r="J7" s="23">
        <v>10343422</v>
      </c>
      <c r="K7" s="23">
        <v>10425783</v>
      </c>
      <c r="L7" s="23">
        <v>10462088</v>
      </c>
      <c r="M7" s="23">
        <v>10486731</v>
      </c>
      <c r="N7" s="23">
        <v>10505445</v>
      </c>
      <c r="O7" s="23">
        <v>10516125</v>
      </c>
      <c r="P7" s="23">
        <v>10512419</v>
      </c>
      <c r="Q7" s="23">
        <v>10538275</v>
      </c>
      <c r="R7" s="23">
        <v>10553843</v>
      </c>
      <c r="S7" s="23">
        <v>10578820</v>
      </c>
      <c r="T7" s="23">
        <v>10610055</v>
      </c>
      <c r="U7" s="23">
        <v>10649800</v>
      </c>
      <c r="V7" s="23">
        <v>10693939</v>
      </c>
      <c r="W7" s="23">
        <v>10505772</v>
      </c>
    </row>
    <row r="8" spans="1:23" x14ac:dyDescent="0.25">
      <c r="A8" s="22" t="s">
        <v>246</v>
      </c>
      <c r="B8" s="23">
        <v>5330020</v>
      </c>
      <c r="C8" s="23">
        <v>5349212</v>
      </c>
      <c r="D8" s="23">
        <v>5368354</v>
      </c>
      <c r="E8" s="23">
        <v>5383507</v>
      </c>
      <c r="F8" s="23">
        <v>5397640</v>
      </c>
      <c r="G8" s="23">
        <v>5411405</v>
      </c>
      <c r="H8" s="23">
        <v>5427459</v>
      </c>
      <c r="I8" s="23">
        <v>5447084</v>
      </c>
      <c r="J8" s="23">
        <v>5475791</v>
      </c>
      <c r="K8" s="23">
        <v>5511451</v>
      </c>
      <c r="L8" s="23">
        <v>5534738</v>
      </c>
      <c r="M8" s="23">
        <v>5560628</v>
      </c>
      <c r="N8" s="23">
        <v>5580516</v>
      </c>
      <c r="O8" s="23">
        <v>5602628</v>
      </c>
      <c r="P8" s="23">
        <v>5627235</v>
      </c>
      <c r="Q8" s="23">
        <v>5659715</v>
      </c>
      <c r="R8" s="23">
        <v>5707251</v>
      </c>
      <c r="S8" s="23">
        <v>5748769</v>
      </c>
      <c r="T8" s="23">
        <v>5781190</v>
      </c>
      <c r="U8" s="23">
        <v>5806081</v>
      </c>
      <c r="V8" s="23">
        <v>5822763</v>
      </c>
      <c r="W8" s="23">
        <v>5856733</v>
      </c>
    </row>
    <row r="9" spans="1:23" x14ac:dyDescent="0.25">
      <c r="A9" s="22" t="s">
        <v>250</v>
      </c>
      <c r="B9" s="23">
        <v>82163475</v>
      </c>
      <c r="C9" s="23">
        <v>82259540</v>
      </c>
      <c r="D9" s="23">
        <v>82440309</v>
      </c>
      <c r="E9" s="23">
        <v>82536680</v>
      </c>
      <c r="F9" s="23">
        <v>82531671</v>
      </c>
      <c r="G9" s="23">
        <v>82500849</v>
      </c>
      <c r="H9" s="23">
        <v>82437995</v>
      </c>
      <c r="I9" s="23">
        <v>82314906</v>
      </c>
      <c r="J9" s="23">
        <v>82217837</v>
      </c>
      <c r="K9" s="23">
        <v>82002356</v>
      </c>
      <c r="L9" s="23">
        <v>81802257</v>
      </c>
      <c r="M9" s="23">
        <v>80222065</v>
      </c>
      <c r="N9" s="23">
        <v>80327900</v>
      </c>
      <c r="O9" s="23">
        <v>80523746</v>
      </c>
      <c r="P9" s="23">
        <v>80767463</v>
      </c>
      <c r="Q9" s="23">
        <v>81197537</v>
      </c>
      <c r="R9" s="23">
        <v>82175684</v>
      </c>
      <c r="S9" s="23">
        <v>82521653</v>
      </c>
      <c r="T9" s="23">
        <v>82792351</v>
      </c>
      <c r="U9" s="23">
        <v>83019213</v>
      </c>
      <c r="V9" s="23">
        <v>83166711</v>
      </c>
      <c r="W9" s="23">
        <v>83196078</v>
      </c>
    </row>
    <row r="10" spans="1:23" x14ac:dyDescent="0.25">
      <c r="A10" s="22" t="s">
        <v>247</v>
      </c>
      <c r="B10" s="23">
        <v>1401250</v>
      </c>
      <c r="C10" s="23">
        <v>1392720</v>
      </c>
      <c r="D10" s="23">
        <v>1383510</v>
      </c>
      <c r="E10" s="23">
        <v>1375190</v>
      </c>
      <c r="F10" s="23">
        <v>1366250</v>
      </c>
      <c r="G10" s="23">
        <v>1358850</v>
      </c>
      <c r="H10" s="23">
        <v>1350700</v>
      </c>
      <c r="I10" s="23">
        <v>1342920</v>
      </c>
      <c r="J10" s="23">
        <v>1338440</v>
      </c>
      <c r="K10" s="23">
        <v>1335740</v>
      </c>
      <c r="L10" s="23">
        <v>1333290</v>
      </c>
      <c r="M10" s="23">
        <v>1329660</v>
      </c>
      <c r="N10" s="23">
        <v>1325217</v>
      </c>
      <c r="O10" s="23">
        <v>1320174</v>
      </c>
      <c r="P10" s="23">
        <v>1315819</v>
      </c>
      <c r="Q10" s="23">
        <v>1314870</v>
      </c>
      <c r="R10" s="23">
        <v>1315944</v>
      </c>
      <c r="S10" s="23">
        <v>1315635</v>
      </c>
      <c r="T10" s="23">
        <v>1319133</v>
      </c>
      <c r="U10" s="23">
        <v>1324820</v>
      </c>
      <c r="V10" s="23">
        <v>1328976</v>
      </c>
      <c r="W10" s="23">
        <v>1330932</v>
      </c>
    </row>
    <row r="11" spans="1:23" x14ac:dyDescent="0.25">
      <c r="A11" s="22" t="s">
        <v>253</v>
      </c>
      <c r="B11" s="23">
        <v>3777565</v>
      </c>
      <c r="C11" s="23">
        <v>3832783</v>
      </c>
      <c r="D11" s="23">
        <v>3899702</v>
      </c>
      <c r="E11" s="23">
        <v>3964191</v>
      </c>
      <c r="F11" s="23">
        <v>4028851</v>
      </c>
      <c r="G11" s="23">
        <v>4111672</v>
      </c>
      <c r="H11" s="23">
        <v>4208156</v>
      </c>
      <c r="I11" s="23">
        <v>4340118</v>
      </c>
      <c r="J11" s="23">
        <v>4457765</v>
      </c>
      <c r="K11" s="23">
        <v>4521322</v>
      </c>
      <c r="L11" s="23">
        <v>4549428</v>
      </c>
      <c r="M11" s="23">
        <v>4570881</v>
      </c>
      <c r="N11" s="23">
        <v>4589287</v>
      </c>
      <c r="O11" s="23">
        <v>4609779</v>
      </c>
      <c r="P11" s="23">
        <v>4637852</v>
      </c>
      <c r="Q11" s="23">
        <v>4677627</v>
      </c>
      <c r="R11" s="23">
        <v>4726286</v>
      </c>
      <c r="S11" s="23">
        <v>4784383</v>
      </c>
      <c r="T11" s="23">
        <v>4830392</v>
      </c>
      <c r="U11" s="23">
        <v>4904240</v>
      </c>
      <c r="V11" s="23">
        <v>4964440</v>
      </c>
      <c r="W11" s="23">
        <v>5033165</v>
      </c>
    </row>
    <row r="12" spans="1:23" x14ac:dyDescent="0.25">
      <c r="A12" s="22" t="s">
        <v>251</v>
      </c>
      <c r="B12" s="23">
        <v>10775627</v>
      </c>
      <c r="C12" s="23">
        <v>10835989</v>
      </c>
      <c r="D12" s="23">
        <v>10888274</v>
      </c>
      <c r="E12" s="23">
        <v>10915770</v>
      </c>
      <c r="F12" s="23">
        <v>10940369</v>
      </c>
      <c r="G12" s="23">
        <v>10969912</v>
      </c>
      <c r="H12" s="23">
        <v>11004716</v>
      </c>
      <c r="I12" s="23">
        <v>11036008</v>
      </c>
      <c r="J12" s="23">
        <v>11060937</v>
      </c>
      <c r="K12" s="23">
        <v>11094745</v>
      </c>
      <c r="L12" s="23">
        <v>11119289</v>
      </c>
      <c r="M12" s="23">
        <v>11123392</v>
      </c>
      <c r="N12" s="23">
        <v>11086406</v>
      </c>
      <c r="O12" s="23">
        <v>11003615</v>
      </c>
      <c r="P12" s="23">
        <v>10926807</v>
      </c>
      <c r="Q12" s="23">
        <v>10858018</v>
      </c>
      <c r="R12" s="23">
        <v>10783748</v>
      </c>
      <c r="S12" s="23">
        <v>10768193</v>
      </c>
      <c r="T12" s="23">
        <v>10741165</v>
      </c>
      <c r="U12" s="23">
        <v>10724599</v>
      </c>
      <c r="V12" s="23">
        <v>10718565</v>
      </c>
      <c r="W12" s="23">
        <v>10641221</v>
      </c>
    </row>
    <row r="13" spans="1:23" x14ac:dyDescent="0.25">
      <c r="A13" s="22" t="s">
        <v>265</v>
      </c>
      <c r="B13" s="23">
        <v>40470182</v>
      </c>
      <c r="C13" s="23">
        <v>40665545</v>
      </c>
      <c r="D13" s="23">
        <v>41035278</v>
      </c>
      <c r="E13" s="23">
        <v>41827838</v>
      </c>
      <c r="F13" s="23">
        <v>42547451</v>
      </c>
      <c r="G13" s="23">
        <v>43296338</v>
      </c>
      <c r="H13" s="23">
        <v>44009971</v>
      </c>
      <c r="I13" s="23">
        <v>44784666</v>
      </c>
      <c r="J13" s="23">
        <v>45668939</v>
      </c>
      <c r="K13" s="23">
        <v>46239273</v>
      </c>
      <c r="L13" s="23">
        <v>46486619</v>
      </c>
      <c r="M13" s="23">
        <v>46667174</v>
      </c>
      <c r="N13" s="23">
        <v>46818219</v>
      </c>
      <c r="O13" s="23">
        <v>46727890</v>
      </c>
      <c r="P13" s="23">
        <v>46512199</v>
      </c>
      <c r="Q13" s="23">
        <v>46449565</v>
      </c>
      <c r="R13" s="23">
        <v>46440099</v>
      </c>
      <c r="S13" s="23">
        <v>46528024</v>
      </c>
      <c r="T13" s="23">
        <v>46658447</v>
      </c>
      <c r="U13" s="23">
        <v>46937060</v>
      </c>
      <c r="V13" s="23">
        <v>47332614</v>
      </c>
      <c r="W13" s="23">
        <v>47415750</v>
      </c>
    </row>
    <row r="14" spans="1:23" x14ac:dyDescent="0.25">
      <c r="A14" s="22" t="s">
        <v>249</v>
      </c>
      <c r="B14" s="23">
        <v>60545022</v>
      </c>
      <c r="C14" s="23">
        <v>60979315</v>
      </c>
      <c r="D14" s="23">
        <v>61424036</v>
      </c>
      <c r="E14" s="23">
        <v>61864088</v>
      </c>
      <c r="F14" s="23">
        <v>62292241</v>
      </c>
      <c r="G14" s="23">
        <v>62772870</v>
      </c>
      <c r="H14" s="23">
        <v>63229635</v>
      </c>
      <c r="I14" s="23">
        <v>63645065</v>
      </c>
      <c r="J14" s="23">
        <v>64007193</v>
      </c>
      <c r="K14" s="23">
        <v>64350226</v>
      </c>
      <c r="L14" s="23">
        <v>64658856</v>
      </c>
      <c r="M14" s="23">
        <v>64978721</v>
      </c>
      <c r="N14" s="23">
        <v>65276983</v>
      </c>
      <c r="O14" s="23">
        <v>65600350</v>
      </c>
      <c r="P14" s="23">
        <v>66165980</v>
      </c>
      <c r="Q14" s="23">
        <v>66458153</v>
      </c>
      <c r="R14" s="23">
        <v>66638391</v>
      </c>
      <c r="S14" s="23">
        <v>66809816</v>
      </c>
      <c r="T14" s="23">
        <v>67026224</v>
      </c>
      <c r="U14" s="23">
        <v>67177636</v>
      </c>
      <c r="V14" s="23">
        <v>67320216</v>
      </c>
      <c r="W14" s="23">
        <v>67749632</v>
      </c>
    </row>
    <row r="15" spans="1:23" x14ac:dyDescent="0.25">
      <c r="A15" s="22" t="s">
        <v>243</v>
      </c>
      <c r="B15" s="23">
        <v>4497735</v>
      </c>
      <c r="C15" s="23">
        <v>4295406</v>
      </c>
      <c r="D15" s="23">
        <v>4305494</v>
      </c>
      <c r="E15" s="23">
        <v>4305384</v>
      </c>
      <c r="F15" s="23">
        <v>4305725</v>
      </c>
      <c r="G15" s="23">
        <v>4310861</v>
      </c>
      <c r="H15" s="23">
        <v>4312487</v>
      </c>
      <c r="I15" s="23">
        <v>4313530</v>
      </c>
      <c r="J15" s="23">
        <v>4311967</v>
      </c>
      <c r="K15" s="23">
        <v>4309796</v>
      </c>
      <c r="L15" s="23">
        <v>4302847</v>
      </c>
      <c r="M15" s="23">
        <v>4289857</v>
      </c>
      <c r="N15" s="23">
        <v>4275984</v>
      </c>
      <c r="O15" s="23">
        <v>4262140</v>
      </c>
      <c r="P15" s="23">
        <v>4246809</v>
      </c>
      <c r="Q15" s="23">
        <v>4225316</v>
      </c>
      <c r="R15" s="23">
        <v>4190669</v>
      </c>
      <c r="S15" s="23">
        <v>4154213</v>
      </c>
      <c r="T15" s="23">
        <v>4105493</v>
      </c>
      <c r="U15" s="23">
        <v>4076246</v>
      </c>
      <c r="V15" s="23">
        <v>4058165</v>
      </c>
      <c r="W15" s="23">
        <v>3957715</v>
      </c>
    </row>
    <row r="16" spans="1:23" x14ac:dyDescent="0.25">
      <c r="A16" s="22" t="s">
        <v>254</v>
      </c>
      <c r="B16" s="23">
        <v>56923524</v>
      </c>
      <c r="C16" s="23">
        <v>56960692</v>
      </c>
      <c r="D16" s="23">
        <v>56987507</v>
      </c>
      <c r="E16" s="23">
        <v>57130506</v>
      </c>
      <c r="F16" s="23">
        <v>57495900</v>
      </c>
      <c r="G16" s="23">
        <v>57874753</v>
      </c>
      <c r="H16" s="23">
        <v>58064214</v>
      </c>
      <c r="I16" s="23">
        <v>58223744</v>
      </c>
      <c r="J16" s="23">
        <v>58652875</v>
      </c>
      <c r="K16" s="23">
        <v>59000586</v>
      </c>
      <c r="L16" s="23">
        <v>59190143</v>
      </c>
      <c r="M16" s="23">
        <v>59364690</v>
      </c>
      <c r="N16" s="23">
        <v>59394207</v>
      </c>
      <c r="O16" s="23">
        <v>59685227</v>
      </c>
      <c r="P16" s="23">
        <v>60782668</v>
      </c>
      <c r="Q16" s="23">
        <v>60795612</v>
      </c>
      <c r="R16" s="23">
        <v>60665551</v>
      </c>
      <c r="S16" s="23">
        <v>60589445</v>
      </c>
      <c r="T16" s="23">
        <v>60483973</v>
      </c>
      <c r="U16" s="23">
        <v>59816673</v>
      </c>
      <c r="V16" s="23">
        <v>59641488</v>
      </c>
      <c r="W16" s="23">
        <v>59109668</v>
      </c>
    </row>
    <row r="17" spans="1:23" x14ac:dyDescent="0.25">
      <c r="A17" s="22" t="s">
        <v>245</v>
      </c>
      <c r="B17" s="23">
        <v>690497</v>
      </c>
      <c r="C17" s="23">
        <v>697549</v>
      </c>
      <c r="D17" s="23">
        <v>705539</v>
      </c>
      <c r="E17" s="23">
        <v>713720</v>
      </c>
      <c r="F17" s="23">
        <v>722893</v>
      </c>
      <c r="G17" s="23">
        <v>733067</v>
      </c>
      <c r="H17" s="23">
        <v>744013</v>
      </c>
      <c r="I17" s="23">
        <v>757916</v>
      </c>
      <c r="J17" s="23">
        <v>776333</v>
      </c>
      <c r="K17" s="23">
        <v>796930</v>
      </c>
      <c r="L17" s="23">
        <v>819140</v>
      </c>
      <c r="M17" s="23">
        <v>839751</v>
      </c>
      <c r="N17" s="23">
        <v>862011</v>
      </c>
      <c r="O17" s="23">
        <v>865878</v>
      </c>
      <c r="P17" s="23">
        <v>858000</v>
      </c>
      <c r="Q17" s="23">
        <v>847008</v>
      </c>
      <c r="R17" s="23">
        <v>848319</v>
      </c>
      <c r="S17" s="23">
        <v>854802</v>
      </c>
      <c r="T17" s="23">
        <v>864236</v>
      </c>
      <c r="U17" s="23">
        <v>875899</v>
      </c>
      <c r="V17" s="23">
        <v>888005</v>
      </c>
      <c r="W17" s="23">
        <v>900356</v>
      </c>
    </row>
    <row r="18" spans="1:23" x14ac:dyDescent="0.25">
      <c r="A18" s="22" t="s">
        <v>255</v>
      </c>
      <c r="B18" s="23">
        <v>2381715</v>
      </c>
      <c r="C18" s="23">
        <v>2353384</v>
      </c>
      <c r="D18" s="23">
        <v>2320956</v>
      </c>
      <c r="E18" s="23">
        <v>2299390</v>
      </c>
      <c r="F18" s="23">
        <v>2276520</v>
      </c>
      <c r="G18" s="23">
        <v>2249724</v>
      </c>
      <c r="H18" s="23">
        <v>2227874</v>
      </c>
      <c r="I18" s="23">
        <v>2208840</v>
      </c>
      <c r="J18" s="23">
        <v>2191810</v>
      </c>
      <c r="K18" s="23">
        <v>2162834</v>
      </c>
      <c r="L18" s="23">
        <v>2120504</v>
      </c>
      <c r="M18" s="23">
        <v>2074605</v>
      </c>
      <c r="N18" s="23">
        <v>2044813</v>
      </c>
      <c r="O18" s="23">
        <v>2023825</v>
      </c>
      <c r="P18" s="23">
        <v>2001468</v>
      </c>
      <c r="Q18" s="23">
        <v>1986096</v>
      </c>
      <c r="R18" s="23">
        <v>1968957</v>
      </c>
      <c r="S18" s="23">
        <v>1950116</v>
      </c>
      <c r="T18" s="23">
        <v>1934379</v>
      </c>
      <c r="U18" s="23">
        <v>1919968</v>
      </c>
      <c r="V18" s="23">
        <v>1907675</v>
      </c>
      <c r="W18" s="23">
        <v>1884490</v>
      </c>
    </row>
    <row r="19" spans="1:23" x14ac:dyDescent="0.25">
      <c r="A19" s="22" t="s">
        <v>256</v>
      </c>
      <c r="B19" s="23">
        <v>3512074</v>
      </c>
      <c r="C19" s="23">
        <v>3486998</v>
      </c>
      <c r="D19" s="23">
        <v>3454637</v>
      </c>
      <c r="E19" s="23">
        <v>3431497</v>
      </c>
      <c r="F19" s="23">
        <v>3398929</v>
      </c>
      <c r="G19" s="23">
        <v>3355220</v>
      </c>
      <c r="H19" s="23">
        <v>3289835</v>
      </c>
      <c r="I19" s="23">
        <v>3249983</v>
      </c>
      <c r="J19" s="23">
        <v>3212605</v>
      </c>
      <c r="K19" s="23">
        <v>3183856</v>
      </c>
      <c r="L19" s="23">
        <v>3141976</v>
      </c>
      <c r="M19" s="23">
        <v>3052588</v>
      </c>
      <c r="N19" s="23">
        <v>3003641</v>
      </c>
      <c r="O19" s="23">
        <v>2971905</v>
      </c>
      <c r="P19" s="23">
        <v>2943472</v>
      </c>
      <c r="Q19" s="23">
        <v>2921262</v>
      </c>
      <c r="R19" s="23">
        <v>2888558</v>
      </c>
      <c r="S19" s="23">
        <v>2847904</v>
      </c>
      <c r="T19" s="23">
        <v>2808901</v>
      </c>
      <c r="U19" s="23">
        <v>2794184</v>
      </c>
      <c r="V19" s="23">
        <v>2794090</v>
      </c>
      <c r="W19" s="23">
        <v>2800839</v>
      </c>
    </row>
    <row r="20" spans="1:23" x14ac:dyDescent="0.25">
      <c r="A20" s="22" t="s">
        <v>257</v>
      </c>
      <c r="B20" s="23">
        <v>433600</v>
      </c>
      <c r="C20" s="23">
        <v>439000</v>
      </c>
      <c r="D20" s="23">
        <v>444050</v>
      </c>
      <c r="E20" s="23">
        <v>448300</v>
      </c>
      <c r="F20" s="23">
        <v>454960</v>
      </c>
      <c r="G20" s="23">
        <v>461230</v>
      </c>
      <c r="H20" s="23">
        <v>469086</v>
      </c>
      <c r="I20" s="23">
        <v>476187</v>
      </c>
      <c r="J20" s="23">
        <v>483799</v>
      </c>
      <c r="K20" s="23">
        <v>493500</v>
      </c>
      <c r="L20" s="23">
        <v>502066</v>
      </c>
      <c r="M20" s="23">
        <v>511840</v>
      </c>
      <c r="N20" s="23">
        <v>524853</v>
      </c>
      <c r="O20" s="23">
        <v>537039</v>
      </c>
      <c r="P20" s="23">
        <v>549680</v>
      </c>
      <c r="Q20" s="23">
        <v>562958</v>
      </c>
      <c r="R20" s="23">
        <v>576249</v>
      </c>
      <c r="S20" s="23">
        <v>590667</v>
      </c>
      <c r="T20" s="23">
        <v>602005</v>
      </c>
      <c r="U20" s="23">
        <v>613894</v>
      </c>
      <c r="V20" s="23">
        <v>626108</v>
      </c>
      <c r="W20" s="23">
        <v>640064</v>
      </c>
    </row>
    <row r="21" spans="1:23" x14ac:dyDescent="0.25">
      <c r="A21" s="22" t="s">
        <v>252</v>
      </c>
      <c r="B21" s="23">
        <v>10221644</v>
      </c>
      <c r="C21" s="23">
        <v>10200298</v>
      </c>
      <c r="D21" s="23">
        <v>10174853</v>
      </c>
      <c r="E21" s="23">
        <v>10142362</v>
      </c>
      <c r="F21" s="23">
        <v>10116742</v>
      </c>
      <c r="G21" s="23">
        <v>10097549</v>
      </c>
      <c r="H21" s="23">
        <v>10076581</v>
      </c>
      <c r="I21" s="23">
        <v>10066158</v>
      </c>
      <c r="J21" s="23">
        <v>10045401</v>
      </c>
      <c r="K21" s="23">
        <v>10030975</v>
      </c>
      <c r="L21" s="23">
        <v>10014324</v>
      </c>
      <c r="M21" s="23">
        <v>9985722</v>
      </c>
      <c r="N21" s="23">
        <v>9931925</v>
      </c>
      <c r="O21" s="23">
        <v>9908798</v>
      </c>
      <c r="P21" s="23">
        <v>9877365</v>
      </c>
      <c r="Q21" s="23">
        <v>9855571</v>
      </c>
      <c r="R21" s="23">
        <v>9830485</v>
      </c>
      <c r="S21" s="23">
        <v>9797561</v>
      </c>
      <c r="T21" s="23">
        <v>9778371</v>
      </c>
      <c r="U21" s="23">
        <v>9772756</v>
      </c>
      <c r="V21" s="23">
        <v>9769526</v>
      </c>
      <c r="W21" s="23">
        <v>9709891</v>
      </c>
    </row>
    <row r="22" spans="1:23" x14ac:dyDescent="0.25">
      <c r="A22" s="22" t="s">
        <v>258</v>
      </c>
      <c r="B22" s="23">
        <v>388759</v>
      </c>
      <c r="C22" s="23">
        <v>391415</v>
      </c>
      <c r="D22" s="23">
        <v>394641</v>
      </c>
      <c r="E22" s="23">
        <v>397296</v>
      </c>
      <c r="F22" s="23">
        <v>399867</v>
      </c>
      <c r="G22" s="23">
        <v>402668</v>
      </c>
      <c r="H22" s="23">
        <v>404999</v>
      </c>
      <c r="I22" s="23">
        <v>405616</v>
      </c>
      <c r="J22" s="23">
        <v>407832</v>
      </c>
      <c r="K22" s="23">
        <v>410926</v>
      </c>
      <c r="L22" s="23">
        <v>414027</v>
      </c>
      <c r="M22" s="23">
        <v>414989</v>
      </c>
      <c r="N22" s="23">
        <v>417546</v>
      </c>
      <c r="O22" s="23">
        <v>422509</v>
      </c>
      <c r="P22" s="23">
        <v>429424</v>
      </c>
      <c r="Q22" s="23">
        <v>439691</v>
      </c>
      <c r="R22" s="23">
        <v>450415</v>
      </c>
      <c r="S22" s="23">
        <v>460297</v>
      </c>
      <c r="T22" s="23">
        <v>475701</v>
      </c>
      <c r="U22" s="23">
        <v>493559</v>
      </c>
      <c r="V22" s="23">
        <v>514564</v>
      </c>
      <c r="W22" s="23">
        <v>518536</v>
      </c>
    </row>
    <row r="23" spans="1:23" x14ac:dyDescent="0.25">
      <c r="A23" s="22" t="s">
        <v>259</v>
      </c>
      <c r="B23" s="23">
        <v>15863950</v>
      </c>
      <c r="C23" s="23">
        <v>15987075</v>
      </c>
      <c r="D23" s="23">
        <v>16105285</v>
      </c>
      <c r="E23" s="23">
        <v>16192572</v>
      </c>
      <c r="F23" s="23">
        <v>16258032</v>
      </c>
      <c r="G23" s="23">
        <v>16305526</v>
      </c>
      <c r="H23" s="23">
        <v>16334210</v>
      </c>
      <c r="I23" s="23">
        <v>16357992</v>
      </c>
      <c r="J23" s="23">
        <v>16405399</v>
      </c>
      <c r="K23" s="23">
        <v>16485787</v>
      </c>
      <c r="L23" s="23">
        <v>16574989</v>
      </c>
      <c r="M23" s="23">
        <v>16655799</v>
      </c>
      <c r="N23" s="23">
        <v>16730348</v>
      </c>
      <c r="O23" s="23">
        <v>16779575</v>
      </c>
      <c r="P23" s="23">
        <v>16829289</v>
      </c>
      <c r="Q23" s="23">
        <v>16900726</v>
      </c>
      <c r="R23" s="23">
        <v>16979120</v>
      </c>
      <c r="S23" s="23">
        <v>17081507</v>
      </c>
      <c r="T23" s="23">
        <v>17181084</v>
      </c>
      <c r="U23" s="23">
        <v>17282163</v>
      </c>
      <c r="V23" s="23">
        <v>17407585</v>
      </c>
      <c r="W23" s="23">
        <v>17533044</v>
      </c>
    </row>
    <row r="24" spans="1:23" x14ac:dyDescent="0.25">
      <c r="A24" s="22" t="s">
        <v>240</v>
      </c>
      <c r="B24" s="23">
        <v>8002186</v>
      </c>
      <c r="C24" s="23">
        <v>8020946</v>
      </c>
      <c r="D24" s="23">
        <v>8063640</v>
      </c>
      <c r="E24" s="23">
        <v>8100273</v>
      </c>
      <c r="F24" s="23">
        <v>8142573</v>
      </c>
      <c r="G24" s="23">
        <v>8201359</v>
      </c>
      <c r="H24" s="23">
        <v>8254298</v>
      </c>
      <c r="I24" s="23">
        <v>8282984</v>
      </c>
      <c r="J24" s="23">
        <v>8307989</v>
      </c>
      <c r="K24" s="23">
        <v>8335003</v>
      </c>
      <c r="L24" s="23">
        <v>8351643</v>
      </c>
      <c r="M24" s="23">
        <v>8375164</v>
      </c>
      <c r="N24" s="23">
        <v>8408121</v>
      </c>
      <c r="O24" s="23">
        <v>8451860</v>
      </c>
      <c r="P24" s="23">
        <v>8507786</v>
      </c>
      <c r="Q24" s="23">
        <v>8584926</v>
      </c>
      <c r="R24" s="23">
        <v>8700471</v>
      </c>
      <c r="S24" s="23">
        <v>8772865</v>
      </c>
      <c r="T24" s="23">
        <v>8822267</v>
      </c>
      <c r="U24" s="23">
        <v>8858775</v>
      </c>
      <c r="V24" s="23">
        <v>8901064</v>
      </c>
      <c r="W24" s="23">
        <v>8955797</v>
      </c>
    </row>
    <row r="25" spans="1:23" x14ac:dyDescent="0.25">
      <c r="A25" s="22" t="s">
        <v>260</v>
      </c>
      <c r="B25" s="23">
        <v>38263303</v>
      </c>
      <c r="C25" s="23">
        <v>38253955</v>
      </c>
      <c r="D25" s="23">
        <v>38242197</v>
      </c>
      <c r="E25" s="23">
        <v>38218531</v>
      </c>
      <c r="F25" s="23">
        <v>38190608</v>
      </c>
      <c r="G25" s="23">
        <v>38173835</v>
      </c>
      <c r="H25" s="23">
        <v>38157055</v>
      </c>
      <c r="I25" s="23">
        <v>38125479</v>
      </c>
      <c r="J25" s="23">
        <v>38115641</v>
      </c>
      <c r="K25" s="23">
        <v>38135876</v>
      </c>
      <c r="L25" s="23">
        <v>38022869</v>
      </c>
      <c r="M25" s="23">
        <v>38062718</v>
      </c>
      <c r="N25" s="23">
        <v>38063792</v>
      </c>
      <c r="O25" s="23">
        <v>38062535</v>
      </c>
      <c r="P25" s="23">
        <v>38017856</v>
      </c>
      <c r="Q25" s="23">
        <v>38005614</v>
      </c>
      <c r="R25" s="23">
        <v>37967209</v>
      </c>
      <c r="S25" s="23">
        <v>37972964</v>
      </c>
      <c r="T25" s="23">
        <v>37976687</v>
      </c>
      <c r="U25" s="23">
        <v>37972812</v>
      </c>
      <c r="V25" s="23">
        <v>37958138</v>
      </c>
      <c r="W25" s="23">
        <v>37747124</v>
      </c>
    </row>
    <row r="26" spans="1:23" x14ac:dyDescent="0.25">
      <c r="A26" s="22" t="s">
        <v>261</v>
      </c>
      <c r="B26" s="23">
        <v>10249022</v>
      </c>
      <c r="C26" s="23">
        <v>10330774</v>
      </c>
      <c r="D26" s="23">
        <v>10394669</v>
      </c>
      <c r="E26" s="23">
        <v>10444592</v>
      </c>
      <c r="F26" s="23">
        <v>10473050</v>
      </c>
      <c r="G26" s="23">
        <v>10494672</v>
      </c>
      <c r="H26" s="23">
        <v>10511988</v>
      </c>
      <c r="I26" s="23">
        <v>10532588</v>
      </c>
      <c r="J26" s="23">
        <v>10553339</v>
      </c>
      <c r="K26" s="23">
        <v>10563014</v>
      </c>
      <c r="L26" s="23">
        <v>10573479</v>
      </c>
      <c r="M26" s="23">
        <v>10572721</v>
      </c>
      <c r="N26" s="23">
        <v>10542398</v>
      </c>
      <c r="O26" s="23">
        <v>10487289</v>
      </c>
      <c r="P26" s="23">
        <v>10427301</v>
      </c>
      <c r="Q26" s="23">
        <v>10374822</v>
      </c>
      <c r="R26" s="23">
        <v>10341330</v>
      </c>
      <c r="S26" s="23">
        <v>10309573</v>
      </c>
      <c r="T26" s="23">
        <v>10291027</v>
      </c>
      <c r="U26" s="23">
        <v>10276617</v>
      </c>
      <c r="V26" s="23">
        <v>10295909</v>
      </c>
      <c r="W26" s="23">
        <v>10325147</v>
      </c>
    </row>
    <row r="27" spans="1:23" x14ac:dyDescent="0.25">
      <c r="A27" s="22" t="s">
        <v>262</v>
      </c>
      <c r="B27" s="23">
        <v>22455485</v>
      </c>
      <c r="C27" s="23">
        <v>22430457</v>
      </c>
      <c r="D27" s="23">
        <v>21833483</v>
      </c>
      <c r="E27" s="23">
        <v>21627509</v>
      </c>
      <c r="F27" s="23">
        <v>21521142</v>
      </c>
      <c r="G27" s="23">
        <v>21382354</v>
      </c>
      <c r="H27" s="23">
        <v>21257016</v>
      </c>
      <c r="I27" s="23">
        <v>21130503</v>
      </c>
      <c r="J27" s="23">
        <v>20635460</v>
      </c>
      <c r="K27" s="23">
        <v>20440290</v>
      </c>
      <c r="L27" s="23">
        <v>20294683</v>
      </c>
      <c r="M27" s="23">
        <v>20199059</v>
      </c>
      <c r="N27" s="23">
        <v>20095996</v>
      </c>
      <c r="O27" s="23">
        <v>20020074</v>
      </c>
      <c r="P27" s="23">
        <v>19947311</v>
      </c>
      <c r="Q27" s="23">
        <v>19870647</v>
      </c>
      <c r="R27" s="23">
        <v>19760585</v>
      </c>
      <c r="S27" s="23">
        <v>19643949</v>
      </c>
      <c r="T27" s="23">
        <v>19533481</v>
      </c>
      <c r="U27" s="23">
        <v>19414458</v>
      </c>
      <c r="V27" s="23">
        <v>19328838</v>
      </c>
      <c r="W27" s="23">
        <v>19119880</v>
      </c>
    </row>
    <row r="28" spans="1:23" x14ac:dyDescent="0.25">
      <c r="A28" s="22" t="s">
        <v>264</v>
      </c>
      <c r="B28" s="23">
        <v>1987755</v>
      </c>
      <c r="C28" s="23">
        <v>1990094</v>
      </c>
      <c r="D28" s="23">
        <v>1994026</v>
      </c>
      <c r="E28" s="23">
        <v>1995033</v>
      </c>
      <c r="F28" s="23">
        <v>1996433</v>
      </c>
      <c r="G28" s="23">
        <v>1997590</v>
      </c>
      <c r="H28" s="23">
        <v>2003358</v>
      </c>
      <c r="I28" s="23">
        <v>2010377</v>
      </c>
      <c r="J28" s="23">
        <v>2010269</v>
      </c>
      <c r="K28" s="23">
        <v>2032362</v>
      </c>
      <c r="L28" s="23">
        <v>2046976</v>
      </c>
      <c r="M28" s="23">
        <v>2050189</v>
      </c>
      <c r="N28" s="23">
        <v>2055496</v>
      </c>
      <c r="O28" s="23">
        <v>2058821</v>
      </c>
      <c r="P28" s="23">
        <v>2061085</v>
      </c>
      <c r="Q28" s="23">
        <v>2062874</v>
      </c>
      <c r="R28" s="23">
        <v>2064188</v>
      </c>
      <c r="S28" s="23">
        <v>2065895</v>
      </c>
      <c r="T28" s="23">
        <v>2066880</v>
      </c>
      <c r="U28" s="23">
        <v>2080908</v>
      </c>
      <c r="V28" s="23">
        <v>2095861</v>
      </c>
      <c r="W28" s="23">
        <v>2108079</v>
      </c>
    </row>
    <row r="29" spans="1:23" x14ac:dyDescent="0.25">
      <c r="A29" s="22" t="s">
        <v>263</v>
      </c>
      <c r="B29" s="23">
        <v>5398657</v>
      </c>
      <c r="C29" s="23">
        <v>5378783</v>
      </c>
      <c r="D29" s="23">
        <v>5378951</v>
      </c>
      <c r="E29" s="23">
        <v>5374873</v>
      </c>
      <c r="F29" s="23">
        <v>5371875</v>
      </c>
      <c r="G29" s="23">
        <v>5372685</v>
      </c>
      <c r="H29" s="23">
        <v>5372928</v>
      </c>
      <c r="I29" s="23">
        <v>5373180</v>
      </c>
      <c r="J29" s="23">
        <v>5376064</v>
      </c>
      <c r="K29" s="23">
        <v>5382401</v>
      </c>
      <c r="L29" s="23">
        <v>5390410</v>
      </c>
      <c r="M29" s="23">
        <v>5392446</v>
      </c>
      <c r="N29" s="23">
        <v>5404322</v>
      </c>
      <c r="O29" s="23">
        <v>5410836</v>
      </c>
      <c r="P29" s="23">
        <v>5415949</v>
      </c>
      <c r="Q29" s="23">
        <v>5421349</v>
      </c>
      <c r="R29" s="23">
        <v>5426252</v>
      </c>
      <c r="S29" s="23">
        <v>5435343</v>
      </c>
      <c r="T29" s="23">
        <v>5443120</v>
      </c>
      <c r="U29" s="23">
        <v>5450421</v>
      </c>
      <c r="V29" s="23">
        <v>5457873</v>
      </c>
      <c r="W29" s="23">
        <v>5447247</v>
      </c>
    </row>
    <row r="30" spans="1:23" x14ac:dyDescent="0.25">
      <c r="A30" s="22" t="s">
        <v>248</v>
      </c>
      <c r="B30" s="23">
        <v>5171302</v>
      </c>
      <c r="C30" s="23">
        <v>5181115</v>
      </c>
      <c r="D30" s="23">
        <v>5194901</v>
      </c>
      <c r="E30" s="23">
        <v>5206295</v>
      </c>
      <c r="F30" s="23">
        <v>5219732</v>
      </c>
      <c r="G30" s="23">
        <v>5236611</v>
      </c>
      <c r="H30" s="23">
        <v>5255580</v>
      </c>
      <c r="I30" s="23">
        <v>5276955</v>
      </c>
      <c r="J30" s="23">
        <v>5300484</v>
      </c>
      <c r="K30" s="23">
        <v>5326314</v>
      </c>
      <c r="L30" s="23">
        <v>5351427</v>
      </c>
      <c r="M30" s="23">
        <v>5375276</v>
      </c>
      <c r="N30" s="23">
        <v>5401267</v>
      </c>
      <c r="O30" s="23">
        <v>5426674</v>
      </c>
      <c r="P30" s="23">
        <v>5451270</v>
      </c>
      <c r="Q30" s="23">
        <v>5471753</v>
      </c>
      <c r="R30" s="23">
        <v>5487308</v>
      </c>
      <c r="S30" s="23">
        <v>5503297</v>
      </c>
      <c r="T30" s="23">
        <v>5513130</v>
      </c>
      <c r="U30" s="23">
        <v>5517919</v>
      </c>
      <c r="V30" s="23">
        <v>5525292</v>
      </c>
      <c r="W30" s="23">
        <v>5541017</v>
      </c>
    </row>
    <row r="31" spans="1:23" x14ac:dyDescent="0.25">
      <c r="A31" s="22" t="s">
        <v>266</v>
      </c>
      <c r="B31" s="23">
        <v>8861426</v>
      </c>
      <c r="C31" s="23">
        <v>8882792</v>
      </c>
      <c r="D31" s="23">
        <v>8909128</v>
      </c>
      <c r="E31" s="23">
        <v>8940788</v>
      </c>
      <c r="F31" s="23">
        <v>8975670</v>
      </c>
      <c r="G31" s="23">
        <v>9011392</v>
      </c>
      <c r="H31" s="23">
        <v>9047752</v>
      </c>
      <c r="I31" s="23">
        <v>9113257</v>
      </c>
      <c r="J31" s="23">
        <v>9182927</v>
      </c>
      <c r="K31" s="23">
        <v>9256347</v>
      </c>
      <c r="L31" s="23">
        <v>9340682</v>
      </c>
      <c r="M31" s="23">
        <v>9415570</v>
      </c>
      <c r="N31" s="23">
        <v>9482855</v>
      </c>
      <c r="O31" s="23">
        <v>9555893</v>
      </c>
      <c r="P31" s="23">
        <v>9644864</v>
      </c>
      <c r="Q31" s="23">
        <v>9747355</v>
      </c>
      <c r="R31" s="23">
        <v>9851017</v>
      </c>
      <c r="S31" s="23">
        <v>9995153</v>
      </c>
      <c r="T31" s="23">
        <v>10120242</v>
      </c>
      <c r="U31" s="23">
        <v>10230185</v>
      </c>
      <c r="V31" s="23">
        <v>10327589</v>
      </c>
      <c r="W31" s="23">
        <v>10415811</v>
      </c>
    </row>
    <row r="32" spans="1:23" x14ac:dyDescent="0.25">
      <c r="A32" s="22" t="s">
        <v>270</v>
      </c>
      <c r="B32" s="23">
        <v>279049</v>
      </c>
      <c r="C32" s="23">
        <v>283361</v>
      </c>
      <c r="D32" s="23">
        <v>286575</v>
      </c>
      <c r="E32" s="23">
        <v>288471</v>
      </c>
      <c r="F32" s="23">
        <v>290570</v>
      </c>
      <c r="G32" s="23">
        <v>293577</v>
      </c>
      <c r="H32" s="23">
        <v>299891</v>
      </c>
      <c r="I32" s="23">
        <v>307672</v>
      </c>
      <c r="J32" s="23">
        <v>315459</v>
      </c>
      <c r="K32" s="23">
        <v>319368</v>
      </c>
      <c r="L32" s="23">
        <v>317630</v>
      </c>
      <c r="M32" s="23">
        <v>318452</v>
      </c>
      <c r="N32" s="23">
        <v>319575</v>
      </c>
      <c r="O32" s="23">
        <v>321857</v>
      </c>
      <c r="P32" s="23">
        <v>325671</v>
      </c>
      <c r="Q32" s="23">
        <v>329100</v>
      </c>
      <c r="R32" s="23">
        <v>332529</v>
      </c>
      <c r="S32" s="23">
        <v>338349</v>
      </c>
      <c r="T32" s="23">
        <v>348450</v>
      </c>
      <c r="U32" s="23">
        <v>356991</v>
      </c>
      <c r="V32" s="23">
        <v>364134</v>
      </c>
      <c r="W32" s="23">
        <v>372520</v>
      </c>
    </row>
    <row r="33" spans="1:23" x14ac:dyDescent="0.25">
      <c r="A33" s="22" t="s">
        <v>271</v>
      </c>
      <c r="B33" s="23">
        <v>32426</v>
      </c>
      <c r="C33" s="23">
        <v>32863</v>
      </c>
      <c r="D33" s="23">
        <v>33525</v>
      </c>
      <c r="E33" s="23">
        <v>33863</v>
      </c>
      <c r="F33" s="23">
        <v>34294</v>
      </c>
      <c r="G33" s="23">
        <v>34600</v>
      </c>
      <c r="H33" s="23">
        <v>34905</v>
      </c>
      <c r="I33" s="23">
        <v>35168</v>
      </c>
      <c r="J33" s="23">
        <v>35356</v>
      </c>
      <c r="K33" s="23">
        <v>35589</v>
      </c>
      <c r="L33" s="23">
        <v>35894</v>
      </c>
      <c r="M33" s="23">
        <v>36149</v>
      </c>
      <c r="N33" s="23">
        <v>36475</v>
      </c>
      <c r="O33" s="23">
        <v>36838</v>
      </c>
      <c r="P33" s="23">
        <v>37129</v>
      </c>
      <c r="Q33" s="23">
        <v>37366</v>
      </c>
      <c r="R33" s="23">
        <v>37622</v>
      </c>
      <c r="S33" s="23">
        <v>37810</v>
      </c>
      <c r="T33" s="23">
        <v>38114</v>
      </c>
      <c r="U33" s="23">
        <v>38378</v>
      </c>
      <c r="V33" s="23">
        <v>38747</v>
      </c>
      <c r="W33" s="23">
        <v>39182</v>
      </c>
    </row>
    <row r="34" spans="1:23" x14ac:dyDescent="0.25">
      <c r="A34" s="22" t="s">
        <v>272</v>
      </c>
      <c r="B34" s="23">
        <v>4478497</v>
      </c>
      <c r="C34" s="23">
        <v>4503436</v>
      </c>
      <c r="D34" s="23">
        <v>4524066</v>
      </c>
      <c r="E34" s="23">
        <v>4552252</v>
      </c>
      <c r="F34" s="23">
        <v>4577457</v>
      </c>
      <c r="G34" s="23">
        <v>4606363</v>
      </c>
      <c r="H34" s="23">
        <v>4640219</v>
      </c>
      <c r="I34" s="23">
        <v>4681134</v>
      </c>
      <c r="J34" s="23">
        <v>4737171</v>
      </c>
      <c r="K34" s="23">
        <v>4799252</v>
      </c>
      <c r="L34" s="23">
        <v>4858199</v>
      </c>
      <c r="M34" s="23">
        <v>4920305</v>
      </c>
      <c r="N34" s="23">
        <v>4985870</v>
      </c>
      <c r="O34" s="23">
        <v>5051275</v>
      </c>
      <c r="P34" s="23">
        <v>5107970</v>
      </c>
      <c r="Q34" s="23">
        <v>5166493</v>
      </c>
      <c r="R34" s="23">
        <v>5210721</v>
      </c>
      <c r="S34" s="23">
        <v>5258317</v>
      </c>
      <c r="T34" s="23">
        <v>5295619</v>
      </c>
      <c r="U34" s="23">
        <v>5328212</v>
      </c>
      <c r="V34" s="23">
        <v>5367580</v>
      </c>
      <c r="W34" s="23">
        <v>5408320</v>
      </c>
    </row>
    <row r="35" spans="1:23" x14ac:dyDescent="0.25">
      <c r="A35" s="22" t="s">
        <v>273</v>
      </c>
      <c r="B35" s="23">
        <v>7164444</v>
      </c>
      <c r="C35" s="23">
        <v>7204055</v>
      </c>
      <c r="D35" s="23">
        <v>7255653</v>
      </c>
      <c r="E35" s="23">
        <v>7313853</v>
      </c>
      <c r="F35" s="23">
        <v>7364148</v>
      </c>
      <c r="G35" s="23">
        <v>7415102</v>
      </c>
      <c r="H35" s="23">
        <v>7459128</v>
      </c>
      <c r="I35" s="23">
        <v>7508739</v>
      </c>
      <c r="J35" s="23">
        <v>7593494</v>
      </c>
      <c r="K35" s="23">
        <v>7701856</v>
      </c>
      <c r="L35" s="23">
        <v>7785806</v>
      </c>
      <c r="M35" s="23">
        <v>7870134</v>
      </c>
      <c r="N35" s="23">
        <v>7954662</v>
      </c>
      <c r="O35" s="23">
        <v>8039060</v>
      </c>
      <c r="P35" s="23">
        <v>8139631</v>
      </c>
      <c r="Q35" s="23">
        <v>8237666</v>
      </c>
      <c r="R35" s="23">
        <v>8327126</v>
      </c>
      <c r="S35" s="23">
        <v>8419550</v>
      </c>
      <c r="T35" s="23">
        <v>8484130</v>
      </c>
      <c r="U35" s="23">
        <v>8544527</v>
      </c>
      <c r="V35" s="23">
        <v>8606033</v>
      </c>
      <c r="W35" s="23">
        <v>8703405</v>
      </c>
    </row>
    <row r="36" spans="1:23" x14ac:dyDescent="0.25">
      <c r="A36" s="22" t="s">
        <v>274</v>
      </c>
      <c r="B36" s="23">
        <v>58785246</v>
      </c>
      <c r="C36" s="23">
        <v>58999781</v>
      </c>
      <c r="D36" s="23">
        <v>59239564</v>
      </c>
      <c r="E36" s="23">
        <v>59501394</v>
      </c>
      <c r="F36" s="23">
        <v>59793759</v>
      </c>
      <c r="G36" s="23">
        <v>60182050</v>
      </c>
      <c r="H36" s="23">
        <v>60620361</v>
      </c>
      <c r="I36" s="23">
        <v>61073279</v>
      </c>
      <c r="J36" s="23">
        <v>61571647</v>
      </c>
      <c r="K36" s="23">
        <v>62042343</v>
      </c>
      <c r="L36" s="23">
        <v>62510197</v>
      </c>
      <c r="M36" s="23">
        <v>63022532</v>
      </c>
      <c r="N36" s="23">
        <v>63495088</v>
      </c>
      <c r="O36" s="23">
        <v>63905342</v>
      </c>
      <c r="P36" s="23">
        <v>64351203</v>
      </c>
      <c r="Q36" s="23">
        <v>64853393</v>
      </c>
      <c r="R36" s="23">
        <v>65379044</v>
      </c>
      <c r="S36" s="23">
        <v>65844142</v>
      </c>
      <c r="T36" s="23">
        <v>66273576</v>
      </c>
      <c r="U36" s="23">
        <v>66647112</v>
      </c>
      <c r="V36" s="23">
        <v>67025542</v>
      </c>
      <c r="W36" s="23">
        <v>67326569</v>
      </c>
    </row>
    <row r="37" spans="1:23" x14ac:dyDescent="0.25">
      <c r="A37" s="22" t="s">
        <v>275</v>
      </c>
      <c r="B37" s="23">
        <v>603152</v>
      </c>
      <c r="C37" s="23">
        <v>605988</v>
      </c>
      <c r="D37" s="23">
        <v>608460</v>
      </c>
      <c r="E37" s="23">
        <v>610510</v>
      </c>
      <c r="F37" s="23">
        <v>612214</v>
      </c>
      <c r="G37" s="23">
        <v>613420</v>
      </c>
      <c r="H37" s="23">
        <v>613109</v>
      </c>
      <c r="I37" s="23">
        <v>614624</v>
      </c>
      <c r="J37" s="23">
        <v>615543</v>
      </c>
      <c r="K37" s="23">
        <v>617157</v>
      </c>
      <c r="L37" s="23">
        <v>619001</v>
      </c>
      <c r="M37" s="23">
        <v>619850</v>
      </c>
      <c r="N37" s="23">
        <v>620308</v>
      </c>
      <c r="O37" s="23">
        <v>620893</v>
      </c>
      <c r="P37" s="23">
        <v>621521</v>
      </c>
      <c r="Q37" s="23">
        <v>622099</v>
      </c>
      <c r="R37" s="23">
        <v>622218</v>
      </c>
      <c r="S37" s="23">
        <v>622387</v>
      </c>
      <c r="T37" s="23">
        <v>622359</v>
      </c>
      <c r="U37" s="23">
        <v>622182</v>
      </c>
      <c r="V37" s="23">
        <v>621873</v>
      </c>
      <c r="W37" s="23">
        <v>619211</v>
      </c>
    </row>
    <row r="38" spans="1:23" x14ac:dyDescent="0.25">
      <c r="A38" s="22" t="s">
        <v>276</v>
      </c>
      <c r="B38" s="23">
        <v>2021578</v>
      </c>
      <c r="C38" s="23">
        <v>2031112</v>
      </c>
      <c r="D38" s="23">
        <v>2038651</v>
      </c>
      <c r="E38" s="23">
        <v>2023654</v>
      </c>
      <c r="F38" s="23">
        <v>2029892</v>
      </c>
      <c r="G38" s="23">
        <v>2035196</v>
      </c>
      <c r="H38" s="23">
        <v>2038514</v>
      </c>
      <c r="I38" s="23">
        <v>2041941</v>
      </c>
      <c r="J38" s="23">
        <v>2045177</v>
      </c>
      <c r="K38" s="23">
        <v>2048619</v>
      </c>
      <c r="L38" s="23">
        <v>2052722</v>
      </c>
      <c r="M38" s="23">
        <v>2057284</v>
      </c>
      <c r="N38" s="23">
        <v>2059794</v>
      </c>
      <c r="O38" s="23">
        <v>2062294</v>
      </c>
      <c r="P38" s="23">
        <v>2065769</v>
      </c>
      <c r="Q38" s="23">
        <v>2069172</v>
      </c>
      <c r="R38" s="23">
        <v>2071278</v>
      </c>
      <c r="S38" s="23">
        <v>2073702</v>
      </c>
      <c r="T38" s="23">
        <v>2075301</v>
      </c>
      <c r="U38" s="23">
        <v>2077132</v>
      </c>
      <c r="V38" s="23">
        <v>2076255</v>
      </c>
      <c r="W38" s="23">
        <v>1952761</v>
      </c>
    </row>
    <row r="39" spans="1:23" x14ac:dyDescent="0.25">
      <c r="A39" s="22" t="s">
        <v>277</v>
      </c>
      <c r="B39" s="23">
        <v>3057026</v>
      </c>
      <c r="C39" s="23">
        <v>3063320</v>
      </c>
      <c r="D39" s="23">
        <v>3057018</v>
      </c>
      <c r="E39" s="23">
        <v>3044993</v>
      </c>
      <c r="F39" s="23">
        <v>3034231</v>
      </c>
      <c r="G39" s="23">
        <v>3019634</v>
      </c>
      <c r="H39" s="23">
        <v>3003329</v>
      </c>
      <c r="I39" s="23">
        <v>2981755</v>
      </c>
      <c r="J39" s="23">
        <v>2958266</v>
      </c>
      <c r="K39" s="23">
        <v>2936355</v>
      </c>
      <c r="L39" s="23">
        <v>2918674</v>
      </c>
      <c r="M39" s="23">
        <v>2907361</v>
      </c>
      <c r="N39" s="23">
        <v>2903008</v>
      </c>
      <c r="O39" s="23">
        <v>2897770</v>
      </c>
      <c r="P39" s="23">
        <v>2892394</v>
      </c>
      <c r="Q39" s="23">
        <v>2885796</v>
      </c>
      <c r="R39" s="23">
        <v>2875592</v>
      </c>
      <c r="S39" s="23">
        <v>2876591</v>
      </c>
      <c r="T39" s="23">
        <v>2870324</v>
      </c>
      <c r="U39" s="23">
        <v>2862427</v>
      </c>
      <c r="V39" s="23">
        <v>2845955</v>
      </c>
      <c r="W39" s="23">
        <v>2811667</v>
      </c>
    </row>
    <row r="40" spans="1:23" x14ac:dyDescent="0.25">
      <c r="A40" s="22" t="s">
        <v>278</v>
      </c>
      <c r="B40" s="23">
        <v>7527952</v>
      </c>
      <c r="C40" s="23">
        <v>7504739</v>
      </c>
      <c r="D40" s="23">
        <v>7502126</v>
      </c>
      <c r="E40" s="23">
        <v>7490918</v>
      </c>
      <c r="F40" s="23">
        <v>7470263</v>
      </c>
      <c r="G40" s="23">
        <v>7456050</v>
      </c>
      <c r="H40" s="23">
        <v>7425487</v>
      </c>
      <c r="I40" s="23">
        <v>7397651</v>
      </c>
      <c r="J40" s="23">
        <v>7365507</v>
      </c>
      <c r="K40" s="23">
        <v>7334937</v>
      </c>
      <c r="L40" s="23">
        <v>7306677</v>
      </c>
      <c r="M40" s="23">
        <v>7251549</v>
      </c>
      <c r="N40" s="23">
        <v>7216649</v>
      </c>
      <c r="O40" s="23">
        <v>7181505</v>
      </c>
      <c r="P40" s="23">
        <v>7146759</v>
      </c>
      <c r="Q40" s="23">
        <v>7114393</v>
      </c>
      <c r="R40" s="23">
        <v>7076372</v>
      </c>
      <c r="S40" s="23">
        <v>7040272</v>
      </c>
      <c r="T40" s="23">
        <v>7001444</v>
      </c>
      <c r="U40" s="23">
        <v>6963764</v>
      </c>
      <c r="V40" s="23">
        <v>6926705</v>
      </c>
      <c r="W40" s="23">
        <v>6834326</v>
      </c>
    </row>
    <row r="41" spans="1:23" x14ac:dyDescent="0.25">
      <c r="A41" s="22" t="s">
        <v>279</v>
      </c>
      <c r="B41" s="23">
        <v>66889425</v>
      </c>
      <c r="C41" s="23">
        <v>64729501</v>
      </c>
      <c r="D41" s="23">
        <v>65603160</v>
      </c>
      <c r="E41" s="23">
        <v>66401851</v>
      </c>
      <c r="F41" s="23">
        <v>67187251</v>
      </c>
      <c r="G41" s="23">
        <v>68010221</v>
      </c>
      <c r="H41" s="23">
        <v>68860539</v>
      </c>
      <c r="I41" s="23">
        <v>69729967</v>
      </c>
      <c r="J41" s="23">
        <v>70586256</v>
      </c>
      <c r="K41" s="23">
        <v>71517100</v>
      </c>
      <c r="L41" s="23">
        <v>72561312</v>
      </c>
      <c r="M41" s="23">
        <v>73722988</v>
      </c>
      <c r="N41" s="23">
        <v>74724269</v>
      </c>
      <c r="O41" s="23">
        <v>75627384</v>
      </c>
      <c r="P41" s="23">
        <v>76667864</v>
      </c>
      <c r="Q41" s="23">
        <v>77695904</v>
      </c>
      <c r="R41" s="23">
        <v>78741053</v>
      </c>
      <c r="S41" s="23">
        <v>79814871</v>
      </c>
      <c r="T41" s="23">
        <v>80810525</v>
      </c>
      <c r="U41" s="23">
        <v>82003882</v>
      </c>
      <c r="V41" s="23">
        <v>83154997</v>
      </c>
      <c r="W41" s="23">
        <v>84147318</v>
      </c>
    </row>
    <row r="42" spans="1:23" x14ac:dyDescent="0.25">
      <c r="A42" s="22" t="s">
        <v>280</v>
      </c>
      <c r="B42" s="23">
        <v>65971</v>
      </c>
      <c r="C42" s="23">
        <v>65844</v>
      </c>
      <c r="D42" s="23">
        <v>66334</v>
      </c>
      <c r="E42" s="23">
        <v>67159</v>
      </c>
      <c r="F42" s="23">
        <v>72320</v>
      </c>
      <c r="G42" s="23">
        <v>76875</v>
      </c>
      <c r="H42" s="23">
        <v>78549</v>
      </c>
      <c r="I42" s="23">
        <v>81222</v>
      </c>
      <c r="J42" s="23">
        <v>83137</v>
      </c>
      <c r="K42" s="23">
        <v>84484</v>
      </c>
      <c r="L42" s="23">
        <v>84082</v>
      </c>
      <c r="M42" s="23">
        <v>78115</v>
      </c>
      <c r="N42" s="23">
        <v>78115</v>
      </c>
      <c r="O42" s="23">
        <v>76246</v>
      </c>
      <c r="P42" s="25" t="s">
        <v>281</v>
      </c>
      <c r="Q42" s="25" t="s">
        <v>281</v>
      </c>
      <c r="R42" s="23">
        <v>71732</v>
      </c>
      <c r="S42" s="25" t="s">
        <v>281</v>
      </c>
      <c r="T42" s="23">
        <v>74794</v>
      </c>
      <c r="U42" s="23">
        <v>76177</v>
      </c>
      <c r="V42" s="23">
        <v>77543</v>
      </c>
      <c r="W42" s="23" t="s">
        <v>281</v>
      </c>
    </row>
    <row r="43" spans="1:23" x14ac:dyDescent="0.25">
      <c r="A43" s="22" t="s">
        <v>282</v>
      </c>
      <c r="B43" s="23">
        <v>10019480</v>
      </c>
      <c r="C43" s="23">
        <v>9990435</v>
      </c>
      <c r="D43" s="23">
        <v>9950941</v>
      </c>
      <c r="E43" s="23">
        <v>9898590</v>
      </c>
      <c r="F43" s="23">
        <v>9849062</v>
      </c>
      <c r="G43" s="23">
        <v>9800073</v>
      </c>
      <c r="H43" s="23">
        <v>9750540</v>
      </c>
      <c r="I43" s="23">
        <v>9714461</v>
      </c>
      <c r="J43" s="23">
        <v>9689770</v>
      </c>
      <c r="K43" s="23">
        <v>9671912</v>
      </c>
      <c r="L43" s="23">
        <v>9480178</v>
      </c>
      <c r="M43" s="23">
        <v>9481193</v>
      </c>
      <c r="N43" s="23">
        <v>9465150</v>
      </c>
      <c r="O43" s="23">
        <v>9463840</v>
      </c>
      <c r="P43" s="23">
        <v>9468154</v>
      </c>
      <c r="Q43" s="23">
        <v>9480868</v>
      </c>
      <c r="R43" s="23">
        <v>9498364</v>
      </c>
      <c r="S43" s="23">
        <v>9504704</v>
      </c>
      <c r="T43" s="23">
        <v>9491823</v>
      </c>
      <c r="U43" s="23">
        <v>9427348</v>
      </c>
      <c r="V43" s="23">
        <v>9408350</v>
      </c>
      <c r="W43" s="23" t="s">
        <v>281</v>
      </c>
    </row>
    <row r="44" spans="1:23" x14ac:dyDescent="0.25">
      <c r="A44" s="22" t="s">
        <v>283</v>
      </c>
      <c r="B44" s="23">
        <v>3753085</v>
      </c>
      <c r="C44" s="23">
        <v>3789717</v>
      </c>
      <c r="D44" s="23">
        <v>3813167</v>
      </c>
      <c r="E44" s="23">
        <v>3830349</v>
      </c>
      <c r="F44" s="23">
        <v>3837414</v>
      </c>
      <c r="G44" s="23">
        <v>3842532</v>
      </c>
      <c r="H44" s="23">
        <v>3842650</v>
      </c>
      <c r="I44" s="23">
        <v>3844017</v>
      </c>
      <c r="J44" s="23">
        <v>3843846</v>
      </c>
      <c r="K44" s="23">
        <v>3843998</v>
      </c>
      <c r="L44" s="23">
        <v>3844046</v>
      </c>
      <c r="M44" s="23">
        <v>3843183</v>
      </c>
      <c r="N44" s="23">
        <v>3839265</v>
      </c>
      <c r="O44" s="23">
        <v>3835645</v>
      </c>
      <c r="P44" s="23">
        <v>3830911</v>
      </c>
      <c r="Q44" s="23">
        <v>3825334</v>
      </c>
      <c r="R44" s="23">
        <v>3515982</v>
      </c>
      <c r="S44" s="23">
        <v>3509728</v>
      </c>
      <c r="T44" s="23">
        <v>3500295</v>
      </c>
      <c r="U44" s="23">
        <v>3492018</v>
      </c>
      <c r="V44" s="25" t="s">
        <v>281</v>
      </c>
      <c r="W44" s="23" t="s">
        <v>281</v>
      </c>
    </row>
    <row r="45" spans="1:23" x14ac:dyDescent="0.25">
      <c r="A45" s="22" t="s">
        <v>284</v>
      </c>
      <c r="B45" s="25" t="s">
        <v>281</v>
      </c>
      <c r="C45" s="25" t="s">
        <v>281</v>
      </c>
      <c r="D45" s="25" t="s">
        <v>281</v>
      </c>
      <c r="E45" s="23">
        <v>1985000</v>
      </c>
      <c r="F45" s="23">
        <v>2016000</v>
      </c>
      <c r="G45" s="23">
        <v>2041000</v>
      </c>
      <c r="H45" s="23">
        <v>2100000</v>
      </c>
      <c r="I45" s="23">
        <v>2126708</v>
      </c>
      <c r="J45" s="23">
        <v>2153139</v>
      </c>
      <c r="K45" s="23">
        <v>2180686</v>
      </c>
      <c r="L45" s="23">
        <v>2208107</v>
      </c>
      <c r="M45" s="23">
        <v>1794180</v>
      </c>
      <c r="N45" s="23">
        <v>1780021</v>
      </c>
      <c r="O45" s="23">
        <v>1815606</v>
      </c>
      <c r="P45" s="23">
        <v>1820631</v>
      </c>
      <c r="Q45" s="23">
        <v>1804944</v>
      </c>
      <c r="R45" s="23">
        <v>1771604</v>
      </c>
      <c r="S45" s="23">
        <v>1783531</v>
      </c>
      <c r="T45" s="23">
        <v>1798506</v>
      </c>
      <c r="U45" s="23">
        <v>1795666</v>
      </c>
      <c r="V45" s="25" t="s">
        <v>281</v>
      </c>
      <c r="W45" s="23" t="s">
        <v>281</v>
      </c>
    </row>
    <row r="46" spans="1:23" x14ac:dyDescent="0.25">
      <c r="A46" s="22" t="s">
        <v>285</v>
      </c>
      <c r="B46" s="23">
        <v>3644070</v>
      </c>
      <c r="C46" s="23">
        <v>3635112</v>
      </c>
      <c r="D46" s="23">
        <v>3627812</v>
      </c>
      <c r="E46" s="23">
        <v>3618312</v>
      </c>
      <c r="F46" s="23">
        <v>3607435</v>
      </c>
      <c r="G46" s="23">
        <v>3600436</v>
      </c>
      <c r="H46" s="23">
        <v>3589936</v>
      </c>
      <c r="I46" s="23">
        <v>3581110</v>
      </c>
      <c r="J46" s="23">
        <v>3572703</v>
      </c>
      <c r="K46" s="23">
        <v>3567512</v>
      </c>
      <c r="L46" s="23">
        <v>3563695</v>
      </c>
      <c r="M46" s="23">
        <v>3560430</v>
      </c>
      <c r="N46" s="23">
        <v>3559541</v>
      </c>
      <c r="O46" s="23">
        <v>3559497</v>
      </c>
      <c r="P46" s="23">
        <v>3557634</v>
      </c>
      <c r="Q46" s="23">
        <v>3555159</v>
      </c>
      <c r="R46" s="23">
        <v>3553056</v>
      </c>
      <c r="S46" s="23">
        <v>3550852</v>
      </c>
      <c r="T46" s="23">
        <v>3547539</v>
      </c>
      <c r="U46" s="25" t="s">
        <v>281</v>
      </c>
      <c r="V46" s="25" t="s">
        <v>281</v>
      </c>
      <c r="W46" s="23" t="s">
        <v>281</v>
      </c>
    </row>
    <row r="47" spans="1:23" x14ac:dyDescent="0.25">
      <c r="A47" s="22" t="s">
        <v>286</v>
      </c>
      <c r="B47" s="25" t="s">
        <v>281</v>
      </c>
      <c r="C47" s="25" t="s">
        <v>281</v>
      </c>
      <c r="D47" s="25" t="s">
        <v>281</v>
      </c>
      <c r="E47" s="25" t="s">
        <v>281</v>
      </c>
      <c r="F47" s="23">
        <v>32828</v>
      </c>
      <c r="G47" s="23">
        <v>33085</v>
      </c>
      <c r="H47" s="25" t="s">
        <v>281</v>
      </c>
      <c r="I47" s="25" t="s">
        <v>281</v>
      </c>
      <c r="J47" s="25" t="s">
        <v>281</v>
      </c>
      <c r="K47" s="25" t="s">
        <v>281</v>
      </c>
      <c r="L47" s="25" t="s">
        <v>281</v>
      </c>
      <c r="M47" s="25" t="s">
        <v>281</v>
      </c>
      <c r="N47" s="25" t="s">
        <v>281</v>
      </c>
      <c r="O47" s="25" t="s">
        <v>281</v>
      </c>
      <c r="P47" s="25" t="s">
        <v>281</v>
      </c>
      <c r="Q47" s="23">
        <v>37700</v>
      </c>
      <c r="R47" s="23">
        <v>38200</v>
      </c>
      <c r="S47" s="25" t="s">
        <v>281</v>
      </c>
      <c r="T47" s="23">
        <v>38300</v>
      </c>
      <c r="U47" s="23">
        <v>38300</v>
      </c>
      <c r="V47" s="25" t="s">
        <v>281</v>
      </c>
      <c r="W47" s="23" t="s">
        <v>281</v>
      </c>
    </row>
    <row r="48" spans="1:23" x14ac:dyDescent="0.25">
      <c r="A48" s="22" t="s">
        <v>287</v>
      </c>
      <c r="B48" s="23">
        <v>146890128</v>
      </c>
      <c r="C48" s="23">
        <v>146303611</v>
      </c>
      <c r="D48" s="23">
        <v>145649334</v>
      </c>
      <c r="E48" s="23">
        <v>145166731</v>
      </c>
      <c r="F48" s="23">
        <v>144168205</v>
      </c>
      <c r="G48" s="23">
        <v>143474219</v>
      </c>
      <c r="H48" s="23">
        <v>142753551</v>
      </c>
      <c r="I48" s="23">
        <v>142220968</v>
      </c>
      <c r="J48" s="23">
        <v>142008838</v>
      </c>
      <c r="K48" s="23">
        <v>141903979</v>
      </c>
      <c r="L48" s="23">
        <v>141914509</v>
      </c>
      <c r="M48" s="23">
        <v>142856536</v>
      </c>
      <c r="N48" s="23">
        <v>143056383</v>
      </c>
      <c r="O48" s="25" t="s">
        <v>281</v>
      </c>
      <c r="P48" s="23">
        <v>143666931</v>
      </c>
      <c r="Q48" s="25" t="s">
        <v>281</v>
      </c>
      <c r="R48" s="25" t="s">
        <v>281</v>
      </c>
      <c r="S48" s="25" t="s">
        <v>281</v>
      </c>
      <c r="T48" s="25" t="s">
        <v>281</v>
      </c>
      <c r="U48" s="25" t="s">
        <v>281</v>
      </c>
      <c r="V48" s="25" t="s">
        <v>281</v>
      </c>
      <c r="W48" s="23" t="s">
        <v>281</v>
      </c>
    </row>
    <row r="49" spans="1:23" x14ac:dyDescent="0.25">
      <c r="A49" s="22" t="s">
        <v>288</v>
      </c>
      <c r="B49" s="25" t="s">
        <v>281</v>
      </c>
      <c r="C49" s="25" t="s">
        <v>281</v>
      </c>
      <c r="D49" s="25" t="s">
        <v>281</v>
      </c>
      <c r="E49" s="25" t="s">
        <v>281</v>
      </c>
      <c r="F49" s="23">
        <v>29241</v>
      </c>
      <c r="G49" s="23">
        <v>29673</v>
      </c>
      <c r="H49" s="23">
        <v>29999</v>
      </c>
      <c r="I49" s="23">
        <v>30368</v>
      </c>
      <c r="J49" s="23">
        <v>32054</v>
      </c>
      <c r="K49" s="23">
        <v>31269</v>
      </c>
      <c r="L49" s="25" t="s">
        <v>281</v>
      </c>
      <c r="M49" s="23">
        <v>31863</v>
      </c>
      <c r="N49" s="23">
        <v>33376</v>
      </c>
      <c r="O49" s="23">
        <v>33562</v>
      </c>
      <c r="P49" s="23">
        <v>32520</v>
      </c>
      <c r="Q49" s="23">
        <v>32789</v>
      </c>
      <c r="R49" s="23">
        <v>33005</v>
      </c>
      <c r="S49" s="23">
        <v>33196</v>
      </c>
      <c r="T49" s="23">
        <v>34453</v>
      </c>
      <c r="U49" s="23">
        <v>34590</v>
      </c>
      <c r="V49" s="23">
        <v>34735</v>
      </c>
      <c r="W49" s="23">
        <v>34252</v>
      </c>
    </row>
    <row r="50" spans="1:23" x14ac:dyDescent="0.25">
      <c r="A50" s="22" t="s">
        <v>289</v>
      </c>
      <c r="B50" s="23">
        <v>49114950</v>
      </c>
      <c r="C50" s="23">
        <v>48663609</v>
      </c>
      <c r="D50" s="23">
        <v>48240902</v>
      </c>
      <c r="E50" s="23">
        <v>47823108</v>
      </c>
      <c r="F50" s="23">
        <v>47442079</v>
      </c>
      <c r="G50" s="23">
        <v>47100462</v>
      </c>
      <c r="H50" s="23">
        <v>46749170</v>
      </c>
      <c r="I50" s="23">
        <v>46465691</v>
      </c>
      <c r="J50" s="23">
        <v>46192309</v>
      </c>
      <c r="K50" s="23">
        <v>45963359</v>
      </c>
      <c r="L50" s="23">
        <v>45782592</v>
      </c>
      <c r="M50" s="23">
        <v>45598179</v>
      </c>
      <c r="N50" s="23">
        <v>45453282</v>
      </c>
      <c r="O50" s="23">
        <v>45372692</v>
      </c>
      <c r="P50" s="23">
        <v>45245894</v>
      </c>
      <c r="Q50" s="23">
        <v>42759661</v>
      </c>
      <c r="R50" s="23">
        <v>42590879</v>
      </c>
      <c r="S50" s="23">
        <v>42414905</v>
      </c>
      <c r="T50" s="23">
        <v>42216766</v>
      </c>
      <c r="U50" s="23">
        <v>41983564</v>
      </c>
      <c r="V50" s="23">
        <v>41732779</v>
      </c>
      <c r="W50" s="23">
        <v>41208208</v>
      </c>
    </row>
    <row r="51" spans="1:23" x14ac:dyDescent="0.25">
      <c r="A51" s="22" t="s">
        <v>290</v>
      </c>
      <c r="B51" s="23">
        <v>3226900</v>
      </c>
      <c r="C51" s="23">
        <v>3215300</v>
      </c>
      <c r="D51" s="23">
        <v>3212900</v>
      </c>
      <c r="E51" s="23">
        <v>3210300</v>
      </c>
      <c r="F51" s="23">
        <v>3212200</v>
      </c>
      <c r="G51" s="23">
        <v>3215800</v>
      </c>
      <c r="H51" s="23">
        <v>3219234</v>
      </c>
      <c r="I51" s="23">
        <v>3222953</v>
      </c>
      <c r="J51" s="23">
        <v>3230086</v>
      </c>
      <c r="K51" s="23">
        <v>3237976</v>
      </c>
      <c r="L51" s="23">
        <v>3249482</v>
      </c>
      <c r="M51" s="23">
        <v>3262650</v>
      </c>
      <c r="N51" s="23">
        <v>3274285</v>
      </c>
      <c r="O51" s="23">
        <v>3026878</v>
      </c>
      <c r="P51" s="23">
        <v>3017079</v>
      </c>
      <c r="Q51" s="23">
        <v>3010598</v>
      </c>
      <c r="R51" s="23">
        <v>2998577</v>
      </c>
      <c r="S51" s="23">
        <v>2986151</v>
      </c>
      <c r="T51" s="23">
        <v>2972732</v>
      </c>
      <c r="U51" s="23">
        <v>2965269</v>
      </c>
      <c r="V51" s="23">
        <v>2959694</v>
      </c>
      <c r="W51" s="23" t="s">
        <v>281</v>
      </c>
    </row>
    <row r="52" spans="1:23" x14ac:dyDescent="0.25">
      <c r="A52" s="22" t="s">
        <v>291</v>
      </c>
      <c r="B52" s="23">
        <v>8016200</v>
      </c>
      <c r="C52" s="23">
        <v>8081000</v>
      </c>
      <c r="D52" s="23">
        <v>8141400</v>
      </c>
      <c r="E52" s="23">
        <v>8202500</v>
      </c>
      <c r="F52" s="23">
        <v>8265700</v>
      </c>
      <c r="G52" s="23">
        <v>8347300</v>
      </c>
      <c r="H52" s="23">
        <v>8436400</v>
      </c>
      <c r="I52" s="23">
        <v>8532700</v>
      </c>
      <c r="J52" s="23">
        <v>8629900</v>
      </c>
      <c r="K52" s="23">
        <v>8896900</v>
      </c>
      <c r="L52" s="23">
        <v>8997586</v>
      </c>
      <c r="M52" s="23">
        <v>9111078</v>
      </c>
      <c r="N52" s="23">
        <v>9235085</v>
      </c>
      <c r="O52" s="23">
        <v>9356483</v>
      </c>
      <c r="P52" s="23">
        <v>9477119</v>
      </c>
      <c r="Q52" s="23">
        <v>9593038</v>
      </c>
      <c r="R52" s="23">
        <v>9705643</v>
      </c>
      <c r="S52" s="23">
        <v>9809981</v>
      </c>
      <c r="T52" s="23">
        <v>9898085</v>
      </c>
      <c r="U52" s="23">
        <v>9981457</v>
      </c>
      <c r="V52" s="23">
        <v>10067108</v>
      </c>
      <c r="W52" s="23">
        <v>10137750</v>
      </c>
    </row>
    <row r="53" spans="1:23" x14ac:dyDescent="0.25">
      <c r="A53" s="22" t="s">
        <v>292</v>
      </c>
      <c r="B53" s="23">
        <v>4435200</v>
      </c>
      <c r="C53" s="23">
        <v>4401400</v>
      </c>
      <c r="D53" s="23">
        <v>4371500</v>
      </c>
      <c r="E53" s="23">
        <v>4352600</v>
      </c>
      <c r="F53" s="23">
        <v>4315200</v>
      </c>
      <c r="G53" s="23">
        <v>4321500</v>
      </c>
      <c r="H53" s="23">
        <v>4401292</v>
      </c>
      <c r="I53" s="23">
        <v>4394702</v>
      </c>
      <c r="J53" s="23">
        <v>4382070</v>
      </c>
      <c r="K53" s="23">
        <v>4385429</v>
      </c>
      <c r="L53" s="23">
        <v>4436391</v>
      </c>
      <c r="M53" s="23">
        <v>4469250</v>
      </c>
      <c r="N53" s="23">
        <v>4497617</v>
      </c>
      <c r="O53" s="25" t="s">
        <v>281</v>
      </c>
      <c r="P53" s="23">
        <v>4490498</v>
      </c>
      <c r="Q53" s="23">
        <v>3729500</v>
      </c>
      <c r="R53" s="23">
        <v>3720400</v>
      </c>
      <c r="S53" s="23">
        <v>3726374</v>
      </c>
      <c r="T53" s="23">
        <v>3729633</v>
      </c>
      <c r="U53" s="23">
        <v>3723464</v>
      </c>
      <c r="V53" s="23">
        <v>3716858</v>
      </c>
      <c r="W53" s="23">
        <v>3708610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101</vt:i4>
      </vt:variant>
    </vt:vector>
  </HeadingPairs>
  <TitlesOfParts>
    <vt:vector size="106" baseType="lpstr">
      <vt:lpstr>Riigikogu</vt:lpstr>
      <vt:lpstr>Riigid</vt:lpstr>
      <vt:lpstr>Personal</vt:lpstr>
      <vt:lpstr>Juurdekasv</vt:lpstr>
      <vt:lpstr>Eurostat</vt:lpstr>
      <vt:lpstr>aastad</vt:lpstr>
      <vt:lpstr>Albania</vt:lpstr>
      <vt:lpstr>Amet</vt:lpstr>
      <vt:lpstr>Andorra</vt:lpstr>
      <vt:lpstr>Armenia</vt:lpstr>
      <vt:lpstr>Azerbaijan</vt:lpstr>
      <vt:lpstr>Austria</vt:lpstr>
      <vt:lpstr>Belarus</vt:lpstr>
      <vt:lpstr>Belgium</vt:lpstr>
      <vt:lpstr>Bosnia_and_Herzegovina</vt:lpstr>
      <vt:lpstr>Bulgaria</vt:lpstr>
      <vt:lpstr>Croatia</vt:lpstr>
      <vt:lpstr>Czechia</vt:lpstr>
      <vt:lpstr>Cyprus</vt:lpstr>
      <vt:lpstr>Denmark</vt:lpstr>
      <vt:lpstr>E_post</vt:lpstr>
      <vt:lpstr>eesnime_esitäht___perekonnanime_esitäht</vt:lpstr>
      <vt:lpstr>eesnimi_esitäht_ja_perenimi</vt:lpstr>
      <vt:lpstr>EKRE</vt:lpstr>
      <vt:lpstr>ekre_kandidaatide_mitteunikaalsed_initsiaalid</vt:lpstr>
      <vt:lpstr>EL_riigid</vt:lpstr>
      <vt:lpstr>erinevus_keskmisest</vt:lpstr>
      <vt:lpstr>Estonia</vt:lpstr>
      <vt:lpstr>Riigikogu!Extract</vt:lpstr>
      <vt:lpstr>Finland</vt:lpstr>
      <vt:lpstr>Fraktsioon</vt:lpstr>
      <vt:lpstr>France</vt:lpstr>
      <vt:lpstr>GEO_TIME</vt:lpstr>
      <vt:lpstr>Georgia</vt:lpstr>
      <vt:lpstr>Germany</vt:lpstr>
      <vt:lpstr>Greece</vt:lpstr>
      <vt:lpstr>Hungary</vt:lpstr>
      <vt:lpstr>Iceland</vt:lpstr>
      <vt:lpstr>Ireland</vt:lpstr>
      <vt:lpstr>Isikukood</vt:lpstr>
      <vt:lpstr>Italy</vt:lpstr>
      <vt:lpstr>Kas_eelmises</vt:lpstr>
      <vt:lpstr>keskmine_palk</vt:lpstr>
      <vt:lpstr>Komisjon</vt:lpstr>
      <vt:lpstr>Kosovo__under_United_Nations_Security_Council_Resolution_1244_99</vt:lpstr>
      <vt:lpstr>Kvartiilid</vt:lpstr>
      <vt:lpstr>kõik_riigid</vt:lpstr>
      <vt:lpstr>Latvia</vt:lpstr>
      <vt:lpstr>Liechtenstein</vt:lpstr>
      <vt:lpstr>Lithuania</vt:lpstr>
      <vt:lpstr>Luxembourg</vt:lpstr>
      <vt:lpstr>Malta</vt:lpstr>
      <vt:lpstr>Meessugu</vt:lpstr>
      <vt:lpstr>millised_initsiaalid_unikaalsed</vt:lpstr>
      <vt:lpstr>mitteunikaalsete_initsiaalidega_ekre_liikmete_arv</vt:lpstr>
      <vt:lpstr>mitu_korda_esineb</vt:lpstr>
      <vt:lpstr>mitu_reformierakonna_fraktsiooni_kuuluvat_meest_on_õiguskomisjonis</vt:lpstr>
      <vt:lpstr>Moldova</vt:lpstr>
      <vt:lpstr>Monaco</vt:lpstr>
      <vt:lpstr>Montenegro</vt:lpstr>
      <vt:lpstr>Netherlands</vt:lpstr>
      <vt:lpstr>Personal!Nimi</vt:lpstr>
      <vt:lpstr>Nimi</vt:lpstr>
      <vt:lpstr>North_Macedonia</vt:lpstr>
      <vt:lpstr>Norway</vt:lpstr>
      <vt:lpstr>Nädalapäeva_nimetus</vt:lpstr>
      <vt:lpstr>Nädalapäeva_nr</vt:lpstr>
      <vt:lpstr>Osakond</vt:lpstr>
      <vt:lpstr>osakonnad</vt:lpstr>
      <vt:lpstr>Palk</vt:lpstr>
      <vt:lpstr>Poland</vt:lpstr>
      <vt:lpstr>Portugal</vt:lpstr>
      <vt:lpstr>positiivse_rahvaarvumuuduga_riikide_arv</vt:lpstr>
      <vt:lpstr>rahvaarv_2011</vt:lpstr>
      <vt:lpstr>rahvaarv_2019</vt:lpstr>
      <vt:lpstr>rahvaarvu_muutus_arvudes</vt:lpstr>
      <vt:lpstr>rahvaarvu_muutus_prots_2011_2019</vt:lpstr>
      <vt:lpstr>Rahvaarvud</vt:lpstr>
      <vt:lpstr>rahvaarvud_2011</vt:lpstr>
      <vt:lpstr>rahvaarvud_2019</vt:lpstr>
      <vt:lpstr>REFORMIERAKOND</vt:lpstr>
      <vt:lpstr>riikide_rahvaarv_2011</vt:lpstr>
      <vt:lpstr>riikide_rahvaarv_2019</vt:lpstr>
      <vt:lpstr>Romania</vt:lpstr>
      <vt:lpstr>Russia</vt:lpstr>
      <vt:lpstr>San_Marino</vt:lpstr>
      <vt:lpstr>Serbia</vt:lpstr>
      <vt:lpstr>Slovakia</vt:lpstr>
      <vt:lpstr>Slovenia</vt:lpstr>
      <vt:lpstr>Spain</vt:lpstr>
      <vt:lpstr>Personal!Sugu</vt:lpstr>
      <vt:lpstr>Sugu</vt:lpstr>
      <vt:lpstr>suhteline_aheljuurdekasv_albaania</vt:lpstr>
      <vt:lpstr>suhteline_aheljuurdekasv_iirimaa</vt:lpstr>
      <vt:lpstr>Sweden</vt:lpstr>
      <vt:lpstr>Switzerland</vt:lpstr>
      <vt:lpstr>Sünniaeg</vt:lpstr>
      <vt:lpstr>Sünnipäev</vt:lpstr>
      <vt:lpstr>Riigid!tingimus</vt:lpstr>
      <vt:lpstr>tingimus</vt:lpstr>
      <vt:lpstr>Transport</vt:lpstr>
      <vt:lpstr>Turkey</vt:lpstr>
      <vt:lpstr>Ukraine</vt:lpstr>
      <vt:lpstr>United_Kingdom</vt:lpstr>
      <vt:lpstr>Vanus</vt:lpstr>
      <vt:lpstr>õiguskomisjon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Erik Lüllman</dc:creator>
  <cp:lastModifiedBy>markus Lüllman</cp:lastModifiedBy>
  <dcterms:created xsi:type="dcterms:W3CDTF">2026-07-20T18:51:19Z</dcterms:created>
  <dcterms:modified xsi:type="dcterms:W3CDTF">2026-07-31T20:44:17Z</dcterms:modified>
</cp:coreProperties>
</file>