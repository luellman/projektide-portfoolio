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andmetöötlus-excel/"/>
    </mc:Choice>
  </mc:AlternateContent>
  <xr:revisionPtr revIDLastSave="1109" documentId="8_{0BA9E9C7-92A8-4BB3-BF3E-394D83E4C00F}" xr6:coauthVersionLast="47" xr6:coauthVersionMax="47" xr10:uidLastSave="{C29EE95A-8A63-49A7-ACD5-19950932C8FF}"/>
  <bookViews>
    <workbookView xWindow="-108" yWindow="-108" windowWidth="23256" windowHeight="12456" activeTab="2" xr2:uid="{1FAA925F-1488-49EE-9252-428D71BB9191}"/>
  </bookViews>
  <sheets>
    <sheet name="Tabeliobjekt" sheetId="1" r:id="rId1"/>
    <sheet name="SKP" sheetId="3" r:id="rId2"/>
    <sheet name="Pivot" sheetId="4" r:id="rId3"/>
    <sheet name="Subtotal" sheetId="5" r:id="rId4"/>
    <sheet name="Koond" sheetId="6" r:id="rId5"/>
    <sheet name="Ideaal" sheetId="7" r:id="rId6"/>
    <sheet name="Töötajad" sheetId="2" r:id="rId7"/>
    <sheet name="Rahvastik" sheetId="8" r:id="rId8"/>
  </sheets>
  <definedNames>
    <definedName name="_xlnm._FilterDatabase" localSheetId="1" hidden="1">SKP!$C$22:$I$382</definedName>
    <definedName name="aasta">SKP!$G$23:$G$382</definedName>
    <definedName name="_xlnm.Criteria" localSheetId="1">SKP!$D$10:$G$11</definedName>
    <definedName name="_xlnm.Criteria" localSheetId="3">Subtotal!$C$13:$E$14</definedName>
    <definedName name="_xlnm.Extract" localSheetId="1">SKP!$I$9</definedName>
    <definedName name="_xlnm.Extract" localSheetId="3">Subtotal!$C$17:$H$17</definedName>
    <definedName name="Ideaalkaal__mid">Ideaal!$C$17</definedName>
    <definedName name="kaal__m">Ideaal!$C$14</definedName>
    <definedName name="kehamassiindeks__kind">Ideaal!$C$19</definedName>
    <definedName name="kõik_kaalud">Ideaal!$S$29:$AH$29</definedName>
    <definedName name="kõik_pikkused">Ideaal!$R$30:$R$40</definedName>
    <definedName name="lähteandmed">Ideaal!$C$11:$C$14</definedName>
    <definedName name="maakond">SKP!$F$23:$F$382</definedName>
    <definedName name="maakondade_rahvaarvud">SKP!$H$23:$H$382</definedName>
    <definedName name="majandusnäitajad_el._kohta">SKP!$I$23:$I$382</definedName>
    <definedName name="majandussektorid">SKP!$C$23:$C$382</definedName>
    <definedName name="pikkus__l">Ideaal!$C$13</definedName>
    <definedName name="rahvastik_aastad">Rahvastik!$C$3:$J$3</definedName>
    <definedName name="rahvastik_maakonnad">Rahvastik!$B$4:$B$18</definedName>
    <definedName name="rahvastik_tabel">Rahvastik!$C$4:$J$18</definedName>
    <definedName name="rasvaprotsent__r">Ideaal!$C$18</definedName>
    <definedName name="SKP_aasta">SKP!$G$23:$G$382</definedName>
    <definedName name="SKP_andmed">SKP!$C$22:$I$382</definedName>
    <definedName name="SKP_maakond">SKP!$F$23:$F$382</definedName>
    <definedName name="sugu">Ideaal!$C$11</definedName>
    <definedName name="sõnaline_hinnang">Ideaal!$C$24</definedName>
    <definedName name="Tabel_A">Pivot!$C$10:$M$30</definedName>
    <definedName name="Tabel_B">Pivot!$C$34:$E$51</definedName>
    <definedName name="Tabel_C">Pivot!$O$10:$T$21</definedName>
    <definedName name="tabel_kmi">Ideaal!$S$30:$AH$40</definedName>
    <definedName name="tihedus__p">Ideaal!$C$20</definedName>
    <definedName name="töötajate_tabel">Töötajad!$A$2:$E$100</definedName>
    <definedName name="vanus__t">Ideaal!$C$12</definedName>
    <definedName name="väljamõeldud_inimesed">Töötajad!$A$1:$E$100</definedName>
    <definedName name="Väärtus_jooksevhindades__miljonit_eurot">SKP!$D$23:$D$382</definedName>
    <definedName name="y">Ideaal!$C$21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7" l="1"/>
  <c r="E17" i="1"/>
  <c r="F17" i="1"/>
  <c r="E18" i="1"/>
  <c r="F18" i="1"/>
  <c r="E19" i="1"/>
  <c r="F19" i="1"/>
  <c r="E20" i="1"/>
  <c r="F20" i="1"/>
  <c r="E21" i="1"/>
  <c r="F21" i="1"/>
  <c r="D25" i="7"/>
  <c r="C17" i="7" l="1"/>
  <c r="C19" i="7"/>
  <c r="C18" i="7" l="1"/>
  <c r="C21" i="7"/>
  <c r="C22" i="7" s="1"/>
  <c r="F23" i="3"/>
  <c r="F26" i="3"/>
  <c r="F27" i="3" s="1"/>
  <c r="F28" i="3" s="1"/>
  <c r="F29" i="3"/>
  <c r="F30" i="3" s="1"/>
  <c r="F31" i="3" s="1"/>
  <c r="F32" i="3"/>
  <c r="F33" i="3" s="1"/>
  <c r="F34" i="3" s="1"/>
  <c r="F35" i="3"/>
  <c r="F36" i="3" s="1"/>
  <c r="F37" i="3" s="1"/>
  <c r="F38" i="3"/>
  <c r="F39" i="3" s="1"/>
  <c r="F40" i="3" s="1"/>
  <c r="F41" i="3"/>
  <c r="F42" i="3" s="1"/>
  <c r="F43" i="3" s="1"/>
  <c r="F44" i="3"/>
  <c r="F45" i="3" s="1"/>
  <c r="F46" i="3" s="1"/>
  <c r="F47" i="3"/>
  <c r="F48" i="3" s="1"/>
  <c r="F49" i="3" s="1"/>
  <c r="F50" i="3"/>
  <c r="F51" i="3" s="1"/>
  <c r="F52" i="3" s="1"/>
  <c r="F53" i="3"/>
  <c r="F54" i="3" s="1"/>
  <c r="F55" i="3" s="1"/>
  <c r="F56" i="3"/>
  <c r="F57" i="3" s="1"/>
  <c r="F58" i="3" s="1"/>
  <c r="F59" i="3"/>
  <c r="F60" i="3" s="1"/>
  <c r="F61" i="3" s="1"/>
  <c r="F62" i="3"/>
  <c r="F63" i="3" s="1"/>
  <c r="F64" i="3" s="1"/>
  <c r="F65" i="3"/>
  <c r="F66" i="3" s="1"/>
  <c r="F67" i="3" s="1"/>
  <c r="F68" i="3"/>
  <c r="F69" i="3" s="1"/>
  <c r="F70" i="3" s="1"/>
  <c r="F71" i="3"/>
  <c r="F72" i="3" s="1"/>
  <c r="F73" i="3" s="1"/>
  <c r="F74" i="3"/>
  <c r="F75" i="3" s="1"/>
  <c r="F76" i="3" s="1"/>
  <c r="F77" i="3"/>
  <c r="F78" i="3"/>
  <c r="F79" i="3" s="1"/>
  <c r="F80" i="3"/>
  <c r="F81" i="3" s="1"/>
  <c r="F82" i="3" s="1"/>
  <c r="F83" i="3"/>
  <c r="F84" i="3" s="1"/>
  <c r="F85" i="3" s="1"/>
  <c r="F86" i="3"/>
  <c r="F87" i="3" s="1"/>
  <c r="F88" i="3" s="1"/>
  <c r="F89" i="3"/>
  <c r="F90" i="3" s="1"/>
  <c r="F91" i="3" s="1"/>
  <c r="F92" i="3"/>
  <c r="F93" i="3" s="1"/>
  <c r="F94" i="3" s="1"/>
  <c r="F95" i="3"/>
  <c r="F96" i="3" s="1"/>
  <c r="F97" i="3" s="1"/>
  <c r="F98" i="3"/>
  <c r="F99" i="3" s="1"/>
  <c r="F100" i="3" s="1"/>
  <c r="F101" i="3"/>
  <c r="F102" i="3" s="1"/>
  <c r="F103" i="3" s="1"/>
  <c r="F104" i="3"/>
  <c r="F105" i="3" s="1"/>
  <c r="F106" i="3" s="1"/>
  <c r="F107" i="3"/>
  <c r="F108" i="3" s="1"/>
  <c r="F109" i="3" s="1"/>
  <c r="F110" i="3"/>
  <c r="F111" i="3" s="1"/>
  <c r="F112" i="3" s="1"/>
  <c r="F113" i="3"/>
  <c r="F114" i="3" s="1"/>
  <c r="F115" i="3" s="1"/>
  <c r="F116" i="3"/>
  <c r="F117" i="3" s="1"/>
  <c r="F118" i="3" s="1"/>
  <c r="F119" i="3"/>
  <c r="F120" i="3" s="1"/>
  <c r="F121" i="3" s="1"/>
  <c r="F122" i="3"/>
  <c r="F123" i="3" s="1"/>
  <c r="F124" i="3" s="1"/>
  <c r="F125" i="3"/>
  <c r="F126" i="3" s="1"/>
  <c r="F127" i="3" s="1"/>
  <c r="F128" i="3"/>
  <c r="F129" i="3" s="1"/>
  <c r="F130" i="3" s="1"/>
  <c r="F131" i="3"/>
  <c r="F132" i="3" s="1"/>
  <c r="F133" i="3" s="1"/>
  <c r="F134" i="3"/>
  <c r="F135" i="3" s="1"/>
  <c r="F136" i="3" s="1"/>
  <c r="F137" i="3"/>
  <c r="F138" i="3" s="1"/>
  <c r="F139" i="3" s="1"/>
  <c r="F140" i="3"/>
  <c r="F141" i="3" s="1"/>
  <c r="F142" i="3" s="1"/>
  <c r="F143" i="3"/>
  <c r="F144" i="3" s="1"/>
  <c r="F145" i="3" s="1"/>
  <c r="F146" i="3"/>
  <c r="F147" i="3" s="1"/>
  <c r="F148" i="3" s="1"/>
  <c r="F149" i="3"/>
  <c r="F150" i="3" s="1"/>
  <c r="F151" i="3" s="1"/>
  <c r="F152" i="3"/>
  <c r="F153" i="3" s="1"/>
  <c r="F154" i="3" s="1"/>
  <c r="F155" i="3"/>
  <c r="F156" i="3" s="1"/>
  <c r="F157" i="3" s="1"/>
  <c r="F158" i="3"/>
  <c r="F159" i="3" s="1"/>
  <c r="F160" i="3" s="1"/>
  <c r="F161" i="3"/>
  <c r="F162" i="3" s="1"/>
  <c r="F163" i="3" s="1"/>
  <c r="F164" i="3"/>
  <c r="F165" i="3" s="1"/>
  <c r="F166" i="3" s="1"/>
  <c r="F167" i="3"/>
  <c r="F168" i="3" s="1"/>
  <c r="F169" i="3" s="1"/>
  <c r="F170" i="3"/>
  <c r="F171" i="3" s="1"/>
  <c r="F172" i="3" s="1"/>
  <c r="F173" i="3"/>
  <c r="F174" i="3" s="1"/>
  <c r="F175" i="3" s="1"/>
  <c r="F176" i="3"/>
  <c r="F177" i="3" s="1"/>
  <c r="F178" i="3" s="1"/>
  <c r="F179" i="3"/>
  <c r="F180" i="3" s="1"/>
  <c r="F181" i="3" s="1"/>
  <c r="F182" i="3"/>
  <c r="F183" i="3" s="1"/>
  <c r="F184" i="3" s="1"/>
  <c r="F185" i="3"/>
  <c r="F186" i="3" s="1"/>
  <c r="F187" i="3" s="1"/>
  <c r="F188" i="3"/>
  <c r="F189" i="3" s="1"/>
  <c r="F190" i="3" s="1"/>
  <c r="F191" i="3"/>
  <c r="F192" i="3"/>
  <c r="F193" i="3" s="1"/>
  <c r="F194" i="3"/>
  <c r="F195" i="3" s="1"/>
  <c r="F196" i="3" s="1"/>
  <c r="F197" i="3"/>
  <c r="F198" i="3" s="1"/>
  <c r="F199" i="3" s="1"/>
  <c r="F200" i="3"/>
  <c r="F201" i="3" s="1"/>
  <c r="F202" i="3" s="1"/>
  <c r="F203" i="3"/>
  <c r="F204" i="3" s="1"/>
  <c r="F205" i="3" s="1"/>
  <c r="F206" i="3"/>
  <c r="F207" i="3" s="1"/>
  <c r="F208" i="3" s="1"/>
  <c r="F209" i="3"/>
  <c r="F210" i="3" s="1"/>
  <c r="F211" i="3" s="1"/>
  <c r="F212" i="3"/>
  <c r="F213" i="3" s="1"/>
  <c r="F214" i="3" s="1"/>
  <c r="F215" i="3"/>
  <c r="F216" i="3" s="1"/>
  <c r="F217" i="3" s="1"/>
  <c r="F218" i="3"/>
  <c r="F219" i="3" s="1"/>
  <c r="F220" i="3" s="1"/>
  <c r="F221" i="3"/>
  <c r="F222" i="3" s="1"/>
  <c r="F223" i="3" s="1"/>
  <c r="F224" i="3"/>
  <c r="F225" i="3" s="1"/>
  <c r="F226" i="3" s="1"/>
  <c r="F227" i="3"/>
  <c r="F228" i="3" s="1"/>
  <c r="F229" i="3" s="1"/>
  <c r="F230" i="3"/>
  <c r="F231" i="3" s="1"/>
  <c r="F232" i="3" s="1"/>
  <c r="F233" i="3"/>
  <c r="F234" i="3" s="1"/>
  <c r="F235" i="3" s="1"/>
  <c r="F236" i="3"/>
  <c r="F237" i="3" s="1"/>
  <c r="F238" i="3" s="1"/>
  <c r="F239" i="3"/>
  <c r="F240" i="3" s="1"/>
  <c r="F241" i="3" s="1"/>
  <c r="F242" i="3"/>
  <c r="F243" i="3" s="1"/>
  <c r="F244" i="3" s="1"/>
  <c r="F245" i="3"/>
  <c r="F246" i="3" s="1"/>
  <c r="F247" i="3" s="1"/>
  <c r="F248" i="3"/>
  <c r="F249" i="3" s="1"/>
  <c r="F250" i="3" s="1"/>
  <c r="F251" i="3"/>
  <c r="F252" i="3" s="1"/>
  <c r="F253" i="3" s="1"/>
  <c r="F254" i="3"/>
  <c r="F255" i="3" s="1"/>
  <c r="F256" i="3" s="1"/>
  <c r="F257" i="3"/>
  <c r="F258" i="3" s="1"/>
  <c r="F259" i="3" s="1"/>
  <c r="F260" i="3"/>
  <c r="F261" i="3" s="1"/>
  <c r="F262" i="3" s="1"/>
  <c r="F263" i="3"/>
  <c r="F264" i="3" s="1"/>
  <c r="F265" i="3" s="1"/>
  <c r="F266" i="3"/>
  <c r="F267" i="3" s="1"/>
  <c r="F268" i="3" s="1"/>
  <c r="F269" i="3"/>
  <c r="F270" i="3" s="1"/>
  <c r="F271" i="3" s="1"/>
  <c r="F272" i="3"/>
  <c r="F273" i="3" s="1"/>
  <c r="F274" i="3" s="1"/>
  <c r="F275" i="3"/>
  <c r="F276" i="3" s="1"/>
  <c r="F277" i="3" s="1"/>
  <c r="F278" i="3"/>
  <c r="F279" i="3" s="1"/>
  <c r="F280" i="3" s="1"/>
  <c r="F281" i="3"/>
  <c r="F282" i="3" s="1"/>
  <c r="F283" i="3" s="1"/>
  <c r="F284" i="3"/>
  <c r="F285" i="3" s="1"/>
  <c r="F286" i="3" s="1"/>
  <c r="F287" i="3"/>
  <c r="F288" i="3" s="1"/>
  <c r="F289" i="3" s="1"/>
  <c r="F290" i="3"/>
  <c r="F291" i="3" s="1"/>
  <c r="F292" i="3" s="1"/>
  <c r="F293" i="3"/>
  <c r="F294" i="3" s="1"/>
  <c r="F295" i="3" s="1"/>
  <c r="F296" i="3"/>
  <c r="F297" i="3" s="1"/>
  <c r="F298" i="3" s="1"/>
  <c r="F299" i="3"/>
  <c r="F300" i="3" s="1"/>
  <c r="F301" i="3" s="1"/>
  <c r="F302" i="3"/>
  <c r="F303" i="3" s="1"/>
  <c r="F304" i="3" s="1"/>
  <c r="F305" i="3"/>
  <c r="F306" i="3" s="1"/>
  <c r="F307" i="3" s="1"/>
  <c r="F308" i="3"/>
  <c r="F309" i="3" s="1"/>
  <c r="F310" i="3" s="1"/>
  <c r="F311" i="3"/>
  <c r="F312" i="3"/>
  <c r="F313" i="3" s="1"/>
  <c r="F314" i="3"/>
  <c r="F315" i="3" s="1"/>
  <c r="F316" i="3" s="1"/>
  <c r="F317" i="3"/>
  <c r="F318" i="3" s="1"/>
  <c r="F319" i="3" s="1"/>
  <c r="F320" i="3"/>
  <c r="F321" i="3" s="1"/>
  <c r="F322" i="3" s="1"/>
  <c r="F323" i="3"/>
  <c r="F324" i="3" s="1"/>
  <c r="F325" i="3" s="1"/>
  <c r="F326" i="3"/>
  <c r="F327" i="3" s="1"/>
  <c r="F328" i="3" s="1"/>
  <c r="F329" i="3"/>
  <c r="F330" i="3" s="1"/>
  <c r="F331" i="3" s="1"/>
  <c r="F332" i="3"/>
  <c r="F333" i="3" s="1"/>
  <c r="F334" i="3" s="1"/>
  <c r="F335" i="3"/>
  <c r="F336" i="3" s="1"/>
  <c r="F337" i="3" s="1"/>
  <c r="F338" i="3"/>
  <c r="F339" i="3" s="1"/>
  <c r="F340" i="3" s="1"/>
  <c r="F341" i="3"/>
  <c r="F342" i="3" s="1"/>
  <c r="F343" i="3" s="1"/>
  <c r="F344" i="3"/>
  <c r="F345" i="3" s="1"/>
  <c r="F346" i="3" s="1"/>
  <c r="F347" i="3"/>
  <c r="F348" i="3" s="1"/>
  <c r="F349" i="3" s="1"/>
  <c r="F350" i="3"/>
  <c r="F351" i="3" s="1"/>
  <c r="F352" i="3" s="1"/>
  <c r="F353" i="3"/>
  <c r="F354" i="3" s="1"/>
  <c r="F355" i="3" s="1"/>
  <c r="F356" i="3"/>
  <c r="F357" i="3" s="1"/>
  <c r="F358" i="3" s="1"/>
  <c r="F359" i="3"/>
  <c r="F360" i="3" s="1"/>
  <c r="F361" i="3" s="1"/>
  <c r="F362" i="3"/>
  <c r="F363" i="3" s="1"/>
  <c r="F364" i="3" s="1"/>
  <c r="F365" i="3"/>
  <c r="F366" i="3" s="1"/>
  <c r="F367" i="3" s="1"/>
  <c r="F368" i="3"/>
  <c r="F369" i="3" s="1"/>
  <c r="F370" i="3" s="1"/>
  <c r="F371" i="3"/>
  <c r="F372" i="3" s="1"/>
  <c r="F373" i="3" s="1"/>
  <c r="F374" i="3"/>
  <c r="F375" i="3" s="1"/>
  <c r="F376" i="3" s="1"/>
  <c r="F377" i="3"/>
  <c r="F378" i="3" s="1"/>
  <c r="F379" i="3" s="1"/>
  <c r="F380" i="3"/>
  <c r="F381" i="3" s="1"/>
  <c r="F382" i="3" s="1"/>
  <c r="F24" i="3" l="1"/>
  <c r="F25" i="3" s="1"/>
  <c r="C20" i="7"/>
  <c r="M35" i="7" s="1"/>
  <c r="C24" i="7" a="1"/>
  <c r="C24" i="7" s="1"/>
  <c r="J35" i="7" s="1"/>
  <c r="H77" i="5"/>
  <c r="H73" i="5"/>
  <c r="H69" i="5"/>
  <c r="H65" i="5"/>
  <c r="H61" i="5"/>
  <c r="H57" i="5"/>
  <c r="H53" i="5"/>
  <c r="H49" i="5"/>
  <c r="H45" i="5"/>
  <c r="H41" i="5"/>
  <c r="H37" i="5"/>
  <c r="H33" i="5"/>
  <c r="H29" i="5"/>
  <c r="H25" i="5"/>
  <c r="H21" i="5"/>
  <c r="G338" i="3"/>
  <c r="G339" i="3" s="1"/>
  <c r="G340" i="3" s="1"/>
  <c r="G341" i="3" s="1"/>
  <c r="G342" i="3" s="1"/>
  <c r="G343" i="3" s="1"/>
  <c r="G344" i="3" s="1"/>
  <c r="G345" i="3" s="1"/>
  <c r="G293" i="3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248" i="3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03" i="3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158" i="3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13" i="3"/>
  <c r="G114" i="3" s="1"/>
  <c r="G68" i="3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23" i="3"/>
  <c r="G24" i="3" s="1"/>
  <c r="G25" i="3" s="1"/>
  <c r="G26" i="3" s="1"/>
  <c r="C23" i="7" l="1"/>
  <c r="I35" i="7" s="1"/>
  <c r="G115" i="3"/>
  <c r="G116" i="3" s="1"/>
  <c r="G117" i="3" s="1"/>
  <c r="G118" i="3" s="1"/>
  <c r="G119" i="3" s="1"/>
  <c r="G120" i="3" s="1"/>
  <c r="G121" i="3" s="1"/>
  <c r="G122" i="3" s="1"/>
  <c r="G123" i="3" s="1"/>
  <c r="G84" i="3"/>
  <c r="G85" i="3" s="1"/>
  <c r="G86" i="3" s="1"/>
  <c r="G174" i="3"/>
  <c r="G175" i="3" s="1"/>
  <c r="G176" i="3" s="1"/>
  <c r="G315" i="3"/>
  <c r="G316" i="3" s="1"/>
  <c r="G317" i="3" s="1"/>
  <c r="G318" i="3" s="1"/>
  <c r="G319" i="3" s="1"/>
  <c r="G320" i="3" s="1"/>
  <c r="G285" i="3"/>
  <c r="G216" i="3"/>
  <c r="G217" i="3" s="1"/>
  <c r="G218" i="3" s="1"/>
  <c r="G219" i="3" s="1"/>
  <c r="G220" i="3" s="1"/>
  <c r="G221" i="3" s="1"/>
  <c r="G27" i="3"/>
  <c r="G346" i="3"/>
  <c r="G347" i="3" s="1"/>
  <c r="G348" i="3" s="1"/>
  <c r="G349" i="3" s="1"/>
  <c r="G350" i="3" s="1"/>
  <c r="H78" i="5"/>
  <c r="E22" i="1"/>
  <c r="F22" i="1"/>
  <c r="D22" i="1"/>
  <c r="G22" i="1"/>
  <c r="R29" i="7"/>
  <c r="G222" i="3" l="1"/>
  <c r="G351" i="3"/>
  <c r="G28" i="3"/>
  <c r="G124" i="3"/>
  <c r="G321" i="3"/>
  <c r="G177" i="3"/>
  <c r="G87" i="3"/>
  <c r="G286" i="3"/>
  <c r="G223" i="3" l="1"/>
  <c r="G125" i="3"/>
  <c r="G88" i="3"/>
  <c r="G287" i="3"/>
  <c r="G322" i="3"/>
  <c r="G29" i="3"/>
  <c r="G352" i="3"/>
  <c r="G178" i="3"/>
  <c r="G30" i="3" l="1"/>
  <c r="G89" i="3"/>
  <c r="G323" i="3"/>
  <c r="G288" i="3"/>
  <c r="G126" i="3"/>
  <c r="G224" i="3"/>
  <c r="G179" i="3"/>
  <c r="G353" i="3"/>
  <c r="G180" i="3" l="1"/>
  <c r="G225" i="3"/>
  <c r="G127" i="3"/>
  <c r="G289" i="3"/>
  <c r="G324" i="3"/>
  <c r="G90" i="3"/>
  <c r="G354" i="3"/>
  <c r="G31" i="3"/>
  <c r="G355" i="3" l="1"/>
  <c r="G91" i="3"/>
  <c r="G325" i="3"/>
  <c r="G290" i="3"/>
  <c r="G128" i="3"/>
  <c r="G226" i="3"/>
  <c r="G32" i="3"/>
  <c r="G181" i="3"/>
  <c r="G326" i="3" l="1"/>
  <c r="G33" i="3"/>
  <c r="G227" i="3"/>
  <c r="G291" i="3"/>
  <c r="G129" i="3"/>
  <c r="G92" i="3"/>
  <c r="G182" i="3"/>
  <c r="G356" i="3"/>
  <c r="G183" i="3" l="1"/>
  <c r="G93" i="3"/>
  <c r="G130" i="3"/>
  <c r="G292" i="3"/>
  <c r="G228" i="3"/>
  <c r="G34" i="3"/>
  <c r="G357" i="3"/>
  <c r="G327" i="3"/>
  <c r="G35" i="3" l="1"/>
  <c r="G229" i="3"/>
  <c r="G131" i="3"/>
  <c r="G94" i="3"/>
  <c r="G358" i="3"/>
  <c r="G328" i="3"/>
  <c r="G184" i="3"/>
  <c r="G95" i="3" l="1"/>
  <c r="G359" i="3"/>
  <c r="G132" i="3"/>
  <c r="G230" i="3"/>
  <c r="G185" i="3"/>
  <c r="G329" i="3"/>
  <c r="G36" i="3"/>
  <c r="G37" i="3" l="1"/>
  <c r="G186" i="3"/>
  <c r="G231" i="3"/>
  <c r="G360" i="3"/>
  <c r="G133" i="3"/>
  <c r="G330" i="3"/>
  <c r="G96" i="3"/>
  <c r="G331" i="3" l="1"/>
  <c r="G134" i="3"/>
  <c r="G187" i="3"/>
  <c r="G97" i="3"/>
  <c r="G361" i="3"/>
  <c r="G232" i="3"/>
  <c r="G38" i="3"/>
  <c r="G362" i="3" l="1"/>
  <c r="G98" i="3"/>
  <c r="G188" i="3"/>
  <c r="G39" i="3"/>
  <c r="G233" i="3"/>
  <c r="G135" i="3"/>
  <c r="G332" i="3"/>
  <c r="G333" i="3" l="1"/>
  <c r="G136" i="3"/>
  <c r="G234" i="3"/>
  <c r="G40" i="3"/>
  <c r="G99" i="3"/>
  <c r="G189" i="3"/>
  <c r="G363" i="3"/>
  <c r="G100" i="3" l="1"/>
  <c r="G364" i="3"/>
  <c r="G190" i="3"/>
  <c r="G41" i="3"/>
  <c r="G235" i="3"/>
  <c r="G137" i="3"/>
  <c r="G334" i="3"/>
  <c r="G138" i="3" l="1"/>
  <c r="G42" i="3"/>
  <c r="G191" i="3"/>
  <c r="G365" i="3"/>
  <c r="G236" i="3"/>
  <c r="G335" i="3"/>
  <c r="G101" i="3"/>
  <c r="G102" i="3" l="1"/>
  <c r="G237" i="3"/>
  <c r="G366" i="3"/>
  <c r="G43" i="3"/>
  <c r="G336" i="3"/>
  <c r="G192" i="3"/>
  <c r="G139" i="3"/>
  <c r="G193" i="3" l="1"/>
  <c r="G337" i="3"/>
  <c r="G44" i="3"/>
  <c r="G238" i="3"/>
  <c r="G140" i="3"/>
  <c r="G367" i="3"/>
  <c r="G103" i="3"/>
  <c r="G104" i="3" l="1"/>
  <c r="G368" i="3"/>
  <c r="G45" i="3"/>
  <c r="G141" i="3"/>
  <c r="G239" i="3"/>
  <c r="G194" i="3"/>
  <c r="G240" i="3" l="1"/>
  <c r="G142" i="3"/>
  <c r="G369" i="3"/>
  <c r="G195" i="3"/>
  <c r="G46" i="3"/>
  <c r="G105" i="3"/>
  <c r="G47" i="3" l="1"/>
  <c r="G196" i="3"/>
  <c r="G143" i="3"/>
  <c r="G106" i="3"/>
  <c r="G370" i="3"/>
  <c r="G241" i="3"/>
  <c r="G107" i="3" l="1"/>
  <c r="G197" i="3"/>
  <c r="G242" i="3"/>
  <c r="G371" i="3"/>
  <c r="G144" i="3"/>
  <c r="G48" i="3"/>
  <c r="G49" i="3" l="1"/>
  <c r="G145" i="3"/>
  <c r="G372" i="3"/>
  <c r="G243" i="3"/>
  <c r="G198" i="3"/>
  <c r="G108" i="3"/>
  <c r="G109" i="3" l="1"/>
  <c r="G199" i="3"/>
  <c r="G244" i="3"/>
  <c r="G146" i="3"/>
  <c r="G373" i="3"/>
  <c r="G50" i="3"/>
  <c r="G147" i="3" l="1"/>
  <c r="G200" i="3"/>
  <c r="G51" i="3"/>
  <c r="G374" i="3"/>
  <c r="G245" i="3"/>
  <c r="G110" i="3"/>
  <c r="G111" i="3" l="1"/>
  <c r="G246" i="3"/>
  <c r="G375" i="3"/>
  <c r="G52" i="3"/>
  <c r="G201" i="3"/>
  <c r="G148" i="3"/>
  <c r="G149" i="3" l="1"/>
  <c r="G202" i="3"/>
  <c r="G53" i="3"/>
  <c r="G376" i="3"/>
  <c r="G247" i="3"/>
  <c r="G112" i="3"/>
  <c r="G377" i="3" l="1"/>
  <c r="G54" i="3"/>
  <c r="G150" i="3"/>
  <c r="G151" i="3" l="1"/>
  <c r="G55" i="3"/>
  <c r="G378" i="3"/>
  <c r="G379" i="3" l="1"/>
  <c r="G56" i="3"/>
  <c r="G152" i="3"/>
  <c r="G153" i="3" l="1"/>
  <c r="G57" i="3"/>
  <c r="G380" i="3"/>
  <c r="G381" i="3" l="1"/>
  <c r="G58" i="3"/>
  <c r="G154" i="3"/>
  <c r="G59" i="3" l="1"/>
  <c r="G155" i="3"/>
  <c r="G382" i="3"/>
  <c r="G156" i="3" l="1"/>
  <c r="G60" i="3"/>
  <c r="G157" i="3" l="1"/>
  <c r="G61" i="3"/>
  <c r="G62" i="3" l="1"/>
  <c r="G63" i="3" l="1"/>
  <c r="G64" i="3" l="1"/>
  <c r="G65" i="3" l="1"/>
  <c r="G66" i="3" l="1"/>
  <c r="G67" i="3" l="1"/>
  <c r="H23" i="3" l="1" a="1"/>
  <c r="H23" i="3" l="1"/>
  <c r="I23" i="3" s="1" a="1"/>
  <c r="I23" i="3" l="1"/>
  <c r="C14" i="6"/>
  <c r="E26" i="6"/>
  <c r="C25" i="6"/>
  <c r="J27" i="6"/>
  <c r="E24" i="6"/>
  <c r="J24" i="6"/>
  <c r="G26" i="6"/>
  <c r="F26" i="6"/>
  <c r="F24" i="6"/>
  <c r="C19" i="6"/>
  <c r="I26" i="6"/>
  <c r="G23" i="6"/>
  <c r="I22" i="6"/>
  <c r="I15" i="6"/>
  <c r="J19" i="6"/>
  <c r="C16" i="6"/>
  <c r="E27" i="6"/>
  <c r="E18" i="6"/>
  <c r="G20" i="6"/>
  <c r="H26" i="6"/>
  <c r="G28" i="6"/>
  <c r="C18" i="6"/>
  <c r="H24" i="6"/>
  <c r="C23" i="6"/>
  <c r="J23" i="6"/>
  <c r="F22" i="6"/>
  <c r="J16" i="6"/>
  <c r="C28" i="6"/>
  <c r="E25" i="6"/>
  <c r="D25" i="6"/>
  <c r="G22" i="6"/>
  <c r="J17" i="6"/>
  <c r="C24" i="6"/>
  <c r="F21" i="6"/>
  <c r="D14" i="6"/>
  <c r="F20" i="6"/>
  <c r="D26" i="6"/>
  <c r="F23" i="6"/>
  <c r="J26" i="6"/>
  <c r="C21" i="6"/>
  <c r="D23" i="6"/>
  <c r="I28" i="6"/>
  <c r="E17" i="6"/>
  <c r="F28" i="6"/>
  <c r="G25" i="6"/>
  <c r="I25" i="6"/>
  <c r="C27" i="6"/>
  <c r="G27" i="6"/>
  <c r="C20" i="6"/>
  <c r="E19" i="6"/>
  <c r="I14" i="6"/>
  <c r="C26" i="6"/>
  <c r="J25" i="6"/>
  <c r="D24" i="6"/>
  <c r="H28" i="6"/>
  <c r="I19" i="6"/>
  <c r="E28" i="6"/>
  <c r="F27" i="6"/>
  <c r="G24" i="6"/>
  <c r="J28" i="6"/>
  <c r="C22" i="6"/>
  <c r="J22" i="6"/>
  <c r="G21" i="6"/>
  <c r="G18" i="6"/>
  <c r="D18" i="6"/>
  <c r="D28" i="6"/>
  <c r="F25" i="6"/>
  <c r="J21" i="6"/>
  <c r="D20" i="6"/>
  <c r="H20" i="6"/>
  <c r="J18" i="6"/>
  <c r="E14" i="6"/>
  <c r="I27" i="6"/>
  <c r="J20" i="6"/>
  <c r="H14" i="6"/>
  <c r="F18" i="6"/>
  <c r="I20" i="6"/>
  <c r="H22" i="6"/>
  <c r="D21" i="6"/>
  <c r="I21" i="6"/>
  <c r="F17" i="6"/>
  <c r="I24" i="6"/>
  <c r="F15" i="6"/>
  <c r="H18" i="6"/>
  <c r="D27" i="6"/>
  <c r="E22" i="6"/>
  <c r="E20" i="6"/>
  <c r="H27" i="6"/>
  <c r="G15" i="6"/>
  <c r="H19" i="6"/>
  <c r="E23" i="6"/>
  <c r="E21" i="6"/>
  <c r="C17" i="6"/>
  <c r="C15" i="6"/>
  <c r="F16" i="6"/>
  <c r="H15" i="6"/>
  <c r="J14" i="6"/>
  <c r="I16" i="6"/>
  <c r="G17" i="6"/>
  <c r="E15" i="6"/>
  <c r="I17" i="6"/>
  <c r="G14" i="6"/>
  <c r="E16" i="6"/>
  <c r="F14" i="6"/>
  <c r="G19" i="6"/>
  <c r="H17" i="6"/>
  <c r="D22" i="6"/>
  <c r="I23" i="6"/>
  <c r="D19" i="6"/>
  <c r="D16" i="6"/>
  <c r="H23" i="6"/>
  <c r="F19" i="6"/>
  <c r="I18" i="6"/>
  <c r="D17" i="6"/>
  <c r="G16" i="6"/>
  <c r="H16" i="6"/>
  <c r="D15" i="6"/>
  <c r="H21" i="6"/>
  <c r="H25" i="6"/>
  <c r="J15" i="6"/>
  <c r="E29" i="6" l="1"/>
  <c r="C29" i="6"/>
  <c r="I29" i="6"/>
  <c r="F29" i="6"/>
  <c r="J29" i="6"/>
  <c r="D29" i="6"/>
  <c r="G29" i="6"/>
  <c r="H2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<sst xmlns="http://schemas.openxmlformats.org/spreadsheetml/2006/main" count="1274" uniqueCount="418">
  <si>
    <t>kuupäev</t>
  </si>
  <si>
    <t>amet</t>
  </si>
  <si>
    <t>isikukood</t>
  </si>
  <si>
    <t>komandeeringutasu</t>
  </si>
  <si>
    <t>Riho Kuusk</t>
  </si>
  <si>
    <t>Einar Ehala</t>
  </si>
  <si>
    <t>Olav Berk</t>
  </si>
  <si>
    <t>Hendrik Kanter</t>
  </si>
  <si>
    <t>Madis Maasalu</t>
  </si>
  <si>
    <t>Total</t>
  </si>
  <si>
    <t>Nimi</t>
  </si>
  <si>
    <t>Isikukood</t>
  </si>
  <si>
    <t>Osakond</t>
  </si>
  <si>
    <t>Amet</t>
  </si>
  <si>
    <t>Palk</t>
  </si>
  <si>
    <t>36010010961</t>
  </si>
  <si>
    <t>Tootmine</t>
  </si>
  <si>
    <t>tööline</t>
  </si>
  <si>
    <t>Aasa Randla</t>
  </si>
  <si>
    <t>46206131090</t>
  </si>
  <si>
    <t>Majandus</t>
  </si>
  <si>
    <t>koristaja</t>
  </si>
  <si>
    <t>36209121746</t>
  </si>
  <si>
    <t>Marko Erikson</t>
  </si>
  <si>
    <t>36304040224</t>
  </si>
  <si>
    <t>meister</t>
  </si>
  <si>
    <t>Mirja Bergmann</t>
  </si>
  <si>
    <t>46309091292</t>
  </si>
  <si>
    <t>Aadu Pulk</t>
  </si>
  <si>
    <t>36310140329</t>
  </si>
  <si>
    <t>Transport</t>
  </si>
  <si>
    <t>valvur</t>
  </si>
  <si>
    <t>36404211932</t>
  </si>
  <si>
    <t>treial</t>
  </si>
  <si>
    <t>36408291485</t>
  </si>
  <si>
    <t>juhataja</t>
  </si>
  <si>
    <t>Leida Jaanus</t>
  </si>
  <si>
    <t>46501120761</t>
  </si>
  <si>
    <t>Anton Meister</t>
  </si>
  <si>
    <t>36502051451</t>
  </si>
  <si>
    <t>Ladu</t>
  </si>
  <si>
    <t>36503080641</t>
  </si>
  <si>
    <t>Sirje Härm</t>
  </si>
  <si>
    <t>46505111762</t>
  </si>
  <si>
    <t>Ost</t>
  </si>
  <si>
    <t>sekretär</t>
  </si>
  <si>
    <t>Kaivo Berk</t>
  </si>
  <si>
    <t>36510160948</t>
  </si>
  <si>
    <t>Sirje Kreen</t>
  </si>
  <si>
    <t>46512241604</t>
  </si>
  <si>
    <t>Reijo Meigas</t>
  </si>
  <si>
    <t>36612160344</t>
  </si>
  <si>
    <t>Tiina Toomsalu</t>
  </si>
  <si>
    <t>46707200293</t>
  </si>
  <si>
    <t>Aare Marmor</t>
  </si>
  <si>
    <t>36709211514</t>
  </si>
  <si>
    <t>Evi Sarapik</t>
  </si>
  <si>
    <t>46801040128</t>
  </si>
  <si>
    <t>Finants</t>
  </si>
  <si>
    <t>raamatupidaja</t>
  </si>
  <si>
    <t>Erki Arsenov</t>
  </si>
  <si>
    <t>36902091558</t>
  </si>
  <si>
    <t>komplekteerija</t>
  </si>
  <si>
    <t>Karl Salu</t>
  </si>
  <si>
    <t>37004171448</t>
  </si>
  <si>
    <t>dispetšer</t>
  </si>
  <si>
    <t>Argo Salu</t>
  </si>
  <si>
    <t>37005271076</t>
  </si>
  <si>
    <t>Jaan Kaasik</t>
  </si>
  <si>
    <t>37012181172</t>
  </si>
  <si>
    <t>autojuht</t>
  </si>
  <si>
    <t>Aarne Oks</t>
  </si>
  <si>
    <t>37107121823</t>
  </si>
  <si>
    <t>Margus Maasalu</t>
  </si>
  <si>
    <t>37203011612</t>
  </si>
  <si>
    <t>Reijo Müürsepp</t>
  </si>
  <si>
    <t>37210080782</t>
  </si>
  <si>
    <t>lukksepp</t>
  </si>
  <si>
    <t>Eino Luige</t>
  </si>
  <si>
    <t>37211131889</t>
  </si>
  <si>
    <t>Juulia Tubin</t>
  </si>
  <si>
    <t>47402281072</t>
  </si>
  <si>
    <t>Müük</t>
  </si>
  <si>
    <t>Kaspar Veesimaa</t>
  </si>
  <si>
    <t>37506090373</t>
  </si>
  <si>
    <t>Reijo Bauman</t>
  </si>
  <si>
    <t>37510020974</t>
  </si>
  <si>
    <t>Arnold Merilaid</t>
  </si>
  <si>
    <t>37602200773</t>
  </si>
  <si>
    <t>Malle Ligi</t>
  </si>
  <si>
    <t>47709300774</t>
  </si>
  <si>
    <t>jurist</t>
  </si>
  <si>
    <t>Airi Põld</t>
  </si>
  <si>
    <t>47904081561</t>
  </si>
  <si>
    <t>Kristel Astok</t>
  </si>
  <si>
    <t>47905071892</t>
  </si>
  <si>
    <t>Aadu Malva</t>
  </si>
  <si>
    <t>38003031433</t>
  </si>
  <si>
    <t>Kristiina Oks</t>
  </si>
  <si>
    <t>48003120597</t>
  </si>
  <si>
    <t>Ahti Tubin</t>
  </si>
  <si>
    <t>38007031273</t>
  </si>
  <si>
    <t>Evelin Põld</t>
  </si>
  <si>
    <t>48008180765</t>
  </si>
  <si>
    <t>Valve Mäesalu</t>
  </si>
  <si>
    <t>48008291582</t>
  </si>
  <si>
    <t>Einar Laanepõld</t>
  </si>
  <si>
    <t>38202090535</t>
  </si>
  <si>
    <t>Andrus Koort</t>
  </si>
  <si>
    <t>38203031751</t>
  </si>
  <si>
    <t>Aadu Elson</t>
  </si>
  <si>
    <t>38304071317</t>
  </si>
  <si>
    <t>Kaivo Mets</t>
  </si>
  <si>
    <t>38308301931</t>
  </si>
  <si>
    <t>Malle Põldmaa</t>
  </si>
  <si>
    <t>48501031592</t>
  </si>
  <si>
    <t>Katy Veesimaa</t>
  </si>
  <si>
    <t>48510140685</t>
  </si>
  <si>
    <t>Erki Ainsaar</t>
  </si>
  <si>
    <t>38511090390</t>
  </si>
  <si>
    <t>Aarne Norak</t>
  </si>
  <si>
    <t>38512040782</t>
  </si>
  <si>
    <t>Arvi Väljas</t>
  </si>
  <si>
    <t>38610031490</t>
  </si>
  <si>
    <t>Paul Naaber</t>
  </si>
  <si>
    <t>38706191094</t>
  </si>
  <si>
    <t>Maarja Ambros</t>
  </si>
  <si>
    <t>48711111283</t>
  </si>
  <si>
    <t>Tarmo Müller</t>
  </si>
  <si>
    <t>38903020192</t>
  </si>
  <si>
    <t>müügijuht</t>
  </si>
  <si>
    <t>Selma Parre</t>
  </si>
  <si>
    <t>48903171602</t>
  </si>
  <si>
    <t>Ahto Danilov</t>
  </si>
  <si>
    <t>38908221101</t>
  </si>
  <si>
    <t>Jana Kaal</t>
  </si>
  <si>
    <t>49003161933</t>
  </si>
  <si>
    <t>Aigi Härm</t>
  </si>
  <si>
    <t>49003200577</t>
  </si>
  <si>
    <t>Hanno Pedak</t>
  </si>
  <si>
    <t>39101221751</t>
  </si>
  <si>
    <t>Malle Kivioja</t>
  </si>
  <si>
    <t>49102011962</t>
  </si>
  <si>
    <t>Kristjan Jürimäe</t>
  </si>
  <si>
    <t>39108021627</t>
  </si>
  <si>
    <t>Reijo Muld</t>
  </si>
  <si>
    <t>39109220457</t>
  </si>
  <si>
    <t>Erki Lepiksoo</t>
  </si>
  <si>
    <t>39110290505</t>
  </si>
  <si>
    <t>Heli Lind</t>
  </si>
  <si>
    <t>49111090156</t>
  </si>
  <si>
    <t>Erno Salumets</t>
  </si>
  <si>
    <t>39112151049</t>
  </si>
  <si>
    <t>Faina Lepp</t>
  </si>
  <si>
    <t>49203291419</t>
  </si>
  <si>
    <t>Ene Burmeister</t>
  </si>
  <si>
    <t>49208180374</t>
  </si>
  <si>
    <t>Kustav Salu</t>
  </si>
  <si>
    <t>39211170603</t>
  </si>
  <si>
    <t>Elvi Berk</t>
  </si>
  <si>
    <t>49304030497</t>
  </si>
  <si>
    <t>Erika Bachmann</t>
  </si>
  <si>
    <t>49304040558</t>
  </si>
  <si>
    <t>Ene Elmik</t>
  </si>
  <si>
    <t>49304210191</t>
  </si>
  <si>
    <t>Tiina Rajamäe</t>
  </si>
  <si>
    <t>49305130641</t>
  </si>
  <si>
    <t>Margus Roosimägi</t>
  </si>
  <si>
    <t>39305181358</t>
  </si>
  <si>
    <t>Mare Eesmaa</t>
  </si>
  <si>
    <t>49408141777</t>
  </si>
  <si>
    <t>Aarne Mikson</t>
  </si>
  <si>
    <t>39408300808</t>
  </si>
  <si>
    <t>Madis Paulus</t>
  </si>
  <si>
    <t>39502190857</t>
  </si>
  <si>
    <t>Vilma Eesmaa</t>
  </si>
  <si>
    <t>49505260913</t>
  </si>
  <si>
    <t>Irma Piirsalu</t>
  </si>
  <si>
    <t>49702101444</t>
  </si>
  <si>
    <t>Boris Küünemäe</t>
  </si>
  <si>
    <t>39703101307</t>
  </si>
  <si>
    <t>Hilja Raid</t>
  </si>
  <si>
    <t>49710311583</t>
  </si>
  <si>
    <t>Jaan Laubre</t>
  </si>
  <si>
    <t>39801130307</t>
  </si>
  <si>
    <t>Eevald Parts</t>
  </si>
  <si>
    <t>39806150256</t>
  </si>
  <si>
    <t>Ando Nõmmik</t>
  </si>
  <si>
    <t>39902180805</t>
  </si>
  <si>
    <t>Kristjan Mägi</t>
  </si>
  <si>
    <t>39904140921</t>
  </si>
  <si>
    <t>müügiesindaja</t>
  </si>
  <si>
    <t>Hanno Pajusaar</t>
  </si>
  <si>
    <t>50003240557</t>
  </si>
  <si>
    <t>Erna Eek</t>
  </si>
  <si>
    <t>60005211087</t>
  </si>
  <si>
    <t>Arnold Norak</t>
  </si>
  <si>
    <t>50006261879</t>
  </si>
  <si>
    <t>Aare Raudsepp</t>
  </si>
  <si>
    <t>50102260876</t>
  </si>
  <si>
    <t>Annika Paju</t>
  </si>
  <si>
    <t>60103151648</t>
  </si>
  <si>
    <t>Kersti Miller</t>
  </si>
  <si>
    <t>60107201475</t>
  </si>
  <si>
    <t>Raivo Lokk</t>
  </si>
  <si>
    <t>50111121233</t>
  </si>
  <si>
    <t>Aadu Heinlo</t>
  </si>
  <si>
    <t>50203250954</t>
  </si>
  <si>
    <t>Reijo Okspuu</t>
  </si>
  <si>
    <t>50204130232</t>
  </si>
  <si>
    <t>Tiina Markus</t>
  </si>
  <si>
    <t>60206290321</t>
  </si>
  <si>
    <t>Faina Kukk</t>
  </si>
  <si>
    <t>60208271299</t>
  </si>
  <si>
    <t>Meelis Petrov</t>
  </si>
  <si>
    <t>50209191696</t>
  </si>
  <si>
    <t>Meelis Kalju</t>
  </si>
  <si>
    <t>50211141511</t>
  </si>
  <si>
    <t>Priit Burmeister</t>
  </si>
  <si>
    <t>50212141976</t>
  </si>
  <si>
    <t>Jaan Noormets</t>
  </si>
  <si>
    <t>50301051432</t>
  </si>
  <si>
    <t>Laine Eek</t>
  </si>
  <si>
    <t>60303091831</t>
  </si>
  <si>
    <t>Karl Agur</t>
  </si>
  <si>
    <t>50412180429</t>
  </si>
  <si>
    <t>Helen Aigro</t>
  </si>
  <si>
    <t>60103010505</t>
  </si>
  <si>
    <t>Erika Kasemets</t>
  </si>
  <si>
    <t>60211241218</t>
  </si>
  <si>
    <t xml:space="preserve">tingimus </t>
  </si>
  <si>
    <t>aasta</t>
  </si>
  <si>
    <t>majandussektorid</t>
  </si>
  <si>
    <t>majandusnäitajad el. kohta</t>
  </si>
  <si>
    <t>advanced filter kasutamise kirjeldus</t>
  </si>
  <si>
    <t>&gt;=2012</t>
  </si>
  <si>
    <t>&lt;=2015</t>
  </si>
  <si>
    <t>Põllumajandus, metsamajandus ja kalapüük</t>
  </si>
  <si>
    <t>&gt;900</t>
  </si>
  <si>
    <t>Hiiu maakond</t>
  </si>
  <si>
    <t>Jõgeva maakond</t>
  </si>
  <si>
    <t>Järva maakond</t>
  </si>
  <si>
    <t>Lääne-Viru maakond</t>
  </si>
  <si>
    <t>Aasta info</t>
  </si>
  <si>
    <t>Maakonnainfo</t>
  </si>
  <si>
    <t>Väärtus jooksevhindades, miljonit eurot</t>
  </si>
  <si>
    <t>maakond</t>
  </si>
  <si>
    <t>maakondade rahvaarvud</t>
  </si>
  <si>
    <t>Põlva maakond</t>
  </si>
  <si>
    <t>2012</t>
  </si>
  <si>
    <t>Harju maakond</t>
  </si>
  <si>
    <t>Viljandi maakond</t>
  </si>
  <si>
    <t>Tööstus ja ehitus*</t>
  </si>
  <si>
    <t>Valga maakond</t>
  </si>
  <si>
    <t>Teenused*</t>
  </si>
  <si>
    <t>Võru maakond</t>
  </si>
  <si>
    <t>Rapla maakond</t>
  </si>
  <si>
    <t>Ida-Viru maakond</t>
  </si>
  <si>
    <t>Lääne maakond</t>
  </si>
  <si>
    <t>Pärnu maakond</t>
  </si>
  <si>
    <t>Saare maakond</t>
  </si>
  <si>
    <t>Tartu maakond</t>
  </si>
  <si>
    <t>2013</t>
  </si>
  <si>
    <t>2014</t>
  </si>
  <si>
    <t>2015</t>
  </si>
  <si>
    <t>2016</t>
  </si>
  <si>
    <t>2017</t>
  </si>
  <si>
    <t>2018</t>
  </si>
  <si>
    <t>2019</t>
  </si>
  <si>
    <t>Average of majandusnäitajad el. kohta</t>
  </si>
  <si>
    <t>Column Labels</t>
  </si>
  <si>
    <t>Row Labels</t>
  </si>
  <si>
    <t>Sum of majandusnäitajad el. kohta</t>
  </si>
  <si>
    <t>kõikide aastate kogusummast protsentuaalselt</t>
  </si>
  <si>
    <t>järjestatud suuremast väiksemani</t>
  </si>
  <si>
    <t>protsentuaalne erinevus suurimast</t>
  </si>
  <si>
    <t>protsentuaalne erinevus väikseimast</t>
  </si>
  <si>
    <t>Grand Total</t>
  </si>
  <si>
    <t>Count of maakond</t>
  </si>
  <si>
    <t>2000-2500</t>
  </si>
  <si>
    <t>2500-3000</t>
  </si>
  <si>
    <t>3000-3500</t>
  </si>
  <si>
    <t>3500-4000</t>
  </si>
  <si>
    <t>4000-4500</t>
  </si>
  <si>
    <t>4500-5000</t>
  </si>
  <si>
    <t>5000-5500</t>
  </si>
  <si>
    <t>5500-6000</t>
  </si>
  <si>
    <t>6500-7000</t>
  </si>
  <si>
    <t>7000-7500</t>
  </si>
  <si>
    <t>10500-11000</t>
  </si>
  <si>
    <t>14000-14500</t>
  </si>
  <si>
    <t>19000-19500</t>
  </si>
  <si>
    <t>arendatud filtri kirjeldus</t>
  </si>
  <si>
    <t>&lt;=2014</t>
  </si>
  <si>
    <t>Grand Average</t>
  </si>
  <si>
    <t>Standardhälve aasta kohta</t>
  </si>
  <si>
    <t>Algandmed</t>
  </si>
  <si>
    <t>Valideerimine:</t>
  </si>
  <si>
    <t>Andmed tulemuste kontrollimiseks</t>
  </si>
  <si>
    <t>sugu</t>
  </si>
  <si>
    <t>mees</t>
  </si>
  <si>
    <t>list (mees/naine)</t>
  </si>
  <si>
    <t>Sugu</t>
  </si>
  <si>
    <t>N</t>
  </si>
  <si>
    <t>M</t>
  </si>
  <si>
    <t>vanus (t)</t>
  </si>
  <si>
    <t>täisarv 17..100</t>
  </si>
  <si>
    <t>Vanus</t>
  </si>
  <si>
    <t>pikkus (l)</t>
  </si>
  <si>
    <t>cm</t>
  </si>
  <si>
    <t>arv 150..200</t>
  </si>
  <si>
    <t>Pikkus</t>
  </si>
  <si>
    <t>kaal (m)</t>
  </si>
  <si>
    <t>kg</t>
  </si>
  <si>
    <t>arv 45..120</t>
  </si>
  <si>
    <t>Kaal</t>
  </si>
  <si>
    <t>y</t>
  </si>
  <si>
    <t>Tulemused</t>
  </si>
  <si>
    <r>
      <t>Ideaalkaal (m</t>
    </r>
    <r>
      <rPr>
        <vertAlign val="subscript"/>
        <sz val="11"/>
        <color theme="1"/>
        <rFont val="Calibri"/>
        <family val="2"/>
        <charset val="186"/>
        <scheme val="minor"/>
      </rPr>
      <t>id</t>
    </r>
    <r>
      <rPr>
        <sz val="11"/>
        <color theme="1"/>
        <rFont val="Calibri"/>
        <family val="2"/>
        <charset val="186"/>
        <scheme val="minor"/>
      </rPr>
      <t>)</t>
    </r>
  </si>
  <si>
    <t>Ideaalne kaal</t>
  </si>
  <si>
    <t>rasvaprotsent (r)</t>
  </si>
  <si>
    <t>Rasvaprotsent</t>
  </si>
  <si>
    <t>%</t>
  </si>
  <si>
    <r>
      <t>kehamassiindeks (k</t>
    </r>
    <r>
      <rPr>
        <vertAlign val="subscript"/>
        <sz val="11"/>
        <color theme="1"/>
        <rFont val="Calibri"/>
        <family val="2"/>
        <charset val="186"/>
        <scheme val="minor"/>
      </rPr>
      <t>ind</t>
    </r>
    <r>
      <rPr>
        <sz val="11"/>
        <color theme="1"/>
        <rFont val="Calibri"/>
        <family val="2"/>
        <charset val="186"/>
        <scheme val="minor"/>
      </rPr>
      <t>)</t>
    </r>
  </si>
  <si>
    <t>Kehamassiindeks</t>
  </si>
  <si>
    <t>tihedus (p)</t>
  </si>
  <si>
    <r>
      <t>kg/m</t>
    </r>
    <r>
      <rPr>
        <vertAlign val="superscript"/>
        <sz val="11"/>
        <color theme="1"/>
        <rFont val="Calibri"/>
        <family val="2"/>
        <charset val="186"/>
        <scheme val="minor"/>
      </rPr>
      <t>3</t>
    </r>
  </si>
  <si>
    <t>Tihedus</t>
  </si>
  <si>
    <t>pindala (S)</t>
  </si>
  <si>
    <r>
      <t>m</t>
    </r>
    <r>
      <rPr>
        <vertAlign val="superscript"/>
        <sz val="11"/>
        <color theme="1"/>
        <rFont val="Calibri"/>
        <family val="2"/>
        <charset val="186"/>
        <scheme val="minor"/>
      </rPr>
      <t>2</t>
    </r>
  </si>
  <si>
    <t>Pindala</t>
  </si>
  <si>
    <t>ruumala (V)</t>
  </si>
  <si>
    <r>
      <t>dm</t>
    </r>
    <r>
      <rPr>
        <vertAlign val="superscript"/>
        <sz val="11"/>
        <color theme="1"/>
        <rFont val="Calibri"/>
        <family val="2"/>
        <charset val="186"/>
        <scheme val="minor"/>
      </rPr>
      <t>3</t>
    </r>
  </si>
  <si>
    <t>Ruumala</t>
  </si>
  <si>
    <t>hinnang</t>
  </si>
  <si>
    <t>Hinnang</t>
  </si>
  <si>
    <t>kõhn</t>
  </si>
  <si>
    <t>normaalne</t>
  </si>
  <si>
    <t>ülekaalus</t>
  </si>
  <si>
    <t>ei või olla</t>
  </si>
  <si>
    <t>hinnang otsifuntsioonide abil</t>
  </si>
  <si>
    <t>kaalud</t>
  </si>
  <si>
    <t>a)</t>
  </si>
  <si>
    <t>b)</t>
  </si>
  <si>
    <t>pikkus</t>
  </si>
  <si>
    <t>naine</t>
  </si>
  <si>
    <t>andmed</t>
  </si>
  <si>
    <t>valemid</t>
  </si>
  <si>
    <t>Sum of Väärtus jooksevhindades, miljonit eurot</t>
  </si>
  <si>
    <t xml:space="preserve">       Unique records only</t>
  </si>
  <si>
    <t>ANDMED</t>
  </si>
  <si>
    <t>töötaja</t>
  </si>
  <si>
    <t>Rahvastik!A1</t>
  </si>
  <si>
    <t>andmete hulk=SKP_andmed</t>
  </si>
  <si>
    <r>
      <t xml:space="preserve">arvutused (k.a tabel </t>
    </r>
    <r>
      <rPr>
        <i/>
        <sz val="11"/>
        <color theme="1"/>
        <rFont val="Calibri"/>
        <family val="2"/>
        <scheme val="minor"/>
      </rPr>
      <t xml:space="preserve">andmed </t>
    </r>
    <r>
      <rPr>
        <sz val="11"/>
        <color theme="1"/>
        <rFont val="Calibri"/>
        <family val="2"/>
        <scheme val="minor"/>
      </rPr>
      <t>põhjal)</t>
    </r>
  </si>
  <si>
    <t>kriteeriumipiirkond=$G$14:$J$16</t>
  </si>
  <si>
    <t>kopeerimise asukoht=$K$21</t>
  </si>
  <si>
    <t>haldusüksuste nimekiri vastavalt tingimustele</t>
  </si>
  <si>
    <t>SKP_andmed</t>
  </si>
  <si>
    <t>List Range: SKP_andmed</t>
  </si>
  <si>
    <t>Criteria Range:$C$13:$E$14</t>
  </si>
  <si>
    <t>Copy To:$C$17</t>
  </si>
  <si>
    <t>Väikseima standardhälbega aasta</t>
  </si>
  <si>
    <t>ARVUTUSED</t>
  </si>
  <si>
    <t>SKP!F21:I382</t>
  </si>
  <si>
    <t xml:space="preserve">ADVANCED FILTER </t>
  </si>
  <si>
    <t>SKP!D9:J18</t>
  </si>
  <si>
    <t>tingimuspiirkond</t>
  </si>
  <si>
    <t>Määrake nimi ning komandeeringutasu vastava kuupäevaga</t>
  </si>
  <si>
    <t>Tabeliobjekt!E16:F21</t>
  </si>
  <si>
    <r>
      <t>töötajate andmete kuvamine ning neile komandeeringutasu määramine vastava kuupäevaga. Valideerimine loeteluga(</t>
    </r>
    <r>
      <rPr>
        <i/>
        <sz val="20"/>
        <color theme="1"/>
        <rFont val="Calibri"/>
        <family val="2"/>
        <scheme val="minor"/>
      </rPr>
      <t xml:space="preserve">list) </t>
    </r>
    <r>
      <rPr>
        <sz val="20"/>
        <color theme="1"/>
        <rFont val="Calibri"/>
        <family val="2"/>
        <scheme val="minor"/>
      </rPr>
      <t>ja ilma, INDEX MATCH kasutus, lahtritele tingimuste määramine</t>
    </r>
  </si>
  <si>
    <t>aastat</t>
  </si>
  <si>
    <t>Sisestada andmed siia</t>
  </si>
  <si>
    <t>keskmine SKP elaniku kohta aastatel 2014–2016 majandussektorite ja haldusüksuste lõikes</t>
  </si>
  <si>
    <t xml:space="preserve"> SKP elaniku kohta, rühmitatuna 500-eurostesse vahemikesse, kajastades maakondade arvu igas vahemikus aastatel 2013 ja 2018.</t>
  </si>
  <si>
    <t>Majandussektori „Põllumajandus, metsamajandus ja kalapüük” SKP elaniku kohta aastate kaupa, järjestatuna väärtuse järgi, näidates iga aasta osakaalu kõigi aastate kogusummast ning protsentuaalset erinevust suurima ja väikseima aastaväärtuse suhtes.</t>
  </si>
  <si>
    <t>SKP andmetest tehtud liigendtabelid:
A) Keskmine SKP elaniku kohta (2014–2016) sektorite ja haldusüksuste lõikes.
B) SKP elaniku kohta (2013, 2018) 500 € vahemike kaupa (maakondade arv).
C) Sektori „Põllumajandus, metsamajandus ja kalapüük” SKP elaniku kohta aastate kaupa: järjestus, osakaal ja erinevus äärmusväärtustest.</t>
  </si>
  <si>
    <t>Tabel C</t>
  </si>
  <si>
    <t>Tabel A</t>
  </si>
  <si>
    <t>Tabel B</t>
  </si>
  <si>
    <t>Tabel_A</t>
  </si>
  <si>
    <t>Tabel_B</t>
  </si>
  <si>
    <t>Tabel_C</t>
  </si>
  <si>
    <t>Harju maakonna keskmine SKP  ühe elaniku kohta</t>
  </si>
  <si>
    <t>Hiiu maakonna keskmine SKP ühe elaniku kohta</t>
  </si>
  <si>
    <t>Ida-Viru maakonna keskmine SKP ühe elaniku kohta</t>
  </si>
  <si>
    <t>Jõgeva maakonna keskmine SKP ühe elaniku kohta</t>
  </si>
  <si>
    <t>Järva maakonna keskmine SKP ühe elaniku kohta</t>
  </si>
  <si>
    <t>Lääne maakonna keskmine SKP ühe elaniku kohta</t>
  </si>
  <si>
    <t>Lääne-Viru maakonna keskmine SKP ühe elaniku kohta</t>
  </si>
  <si>
    <t>Põlva maakonna keskmine SKP ühe elaniku kohta</t>
  </si>
  <si>
    <t>Pärnu maakonna keskmine SKP ühe elaniku kohta</t>
  </si>
  <si>
    <t>Rapla maakonna keskmine SKP ühe elaniku kohta</t>
  </si>
  <si>
    <t>Saare maakonna keskmine SKP ühe elaniku kohta</t>
  </si>
  <si>
    <t>Tartu maakonna keskmine SKP ühe elaniku kohta</t>
  </si>
  <si>
    <t>Valga maakonna keskmine SKP ühe elaniku kohta</t>
  </si>
  <si>
    <t>Viljandi maakonna keskmine SKP ühe elaniku kohta</t>
  </si>
  <si>
    <t>Võru maakonna keskmine SKP ühe elaniku kohta</t>
  </si>
  <si>
    <t>Majandussektori "Tööstus ja ehitus" andmete leidmine aastatel 2012 - 2014 ning keskmine SKP elaniku kohta maakondade lõikes arendatud filtri abil</t>
  </si>
  <si>
    <t>majandussektori "Teenused" SKP elaniku kohta maakondade ja aastate lõikes leidmine, kasutades liigendtabelit ning SUMIFS valemit</t>
  </si>
  <si>
    <t>lähteandmed</t>
  </si>
  <si>
    <t>tulemused</t>
  </si>
  <si>
    <t>54 a. 80kg inimese tihedus erinevate pikkuste korral Data Table abil</t>
  </si>
  <si>
    <r>
      <t xml:space="preserve">54 a. 80kg mehe ruumala ja sõnaline hinnang </t>
    </r>
    <r>
      <rPr>
        <b/>
        <i/>
        <sz val="11"/>
        <color theme="1"/>
        <rFont val="Calibri"/>
        <family val="2"/>
        <scheme val="minor"/>
      </rPr>
      <t>Data Table</t>
    </r>
    <r>
      <rPr>
        <b/>
        <sz val="11"/>
        <color theme="1"/>
        <rFont val="Calibri"/>
        <family val="2"/>
        <scheme val="minor"/>
      </rPr>
      <t xml:space="preserve"> abil</t>
    </r>
  </si>
  <si>
    <t>tihedus</t>
  </si>
  <si>
    <t>lühendid</t>
  </si>
  <si>
    <r>
      <t xml:space="preserve">vanus </t>
    </r>
    <r>
      <rPr>
        <b/>
        <sz val="11"/>
        <color theme="1"/>
        <rFont val="Calibri"/>
        <family val="2"/>
        <scheme val="minor"/>
      </rPr>
      <t>(t)</t>
    </r>
  </si>
  <si>
    <r>
      <t xml:space="preserve">pikkus </t>
    </r>
    <r>
      <rPr>
        <b/>
        <sz val="11"/>
        <color theme="1"/>
        <rFont val="Calibri"/>
        <family val="2"/>
        <scheme val="minor"/>
      </rPr>
      <t>(l)</t>
    </r>
  </si>
  <si>
    <r>
      <t xml:space="preserve">kaal </t>
    </r>
    <r>
      <rPr>
        <b/>
        <sz val="11"/>
        <color theme="1"/>
        <rFont val="Calibri"/>
        <family val="2"/>
        <scheme val="minor"/>
      </rPr>
      <t>(m)</t>
    </r>
  </si>
  <si>
    <r>
      <t xml:space="preserve">Ideaalkaal </t>
    </r>
    <r>
      <rPr>
        <b/>
        <sz val="11"/>
        <color theme="1"/>
        <rFont val="Calibri"/>
        <family val="2"/>
        <scheme val="minor"/>
      </rPr>
      <t>(m</t>
    </r>
    <r>
      <rPr>
        <b/>
        <vertAlign val="subscript"/>
        <sz val="11"/>
        <color theme="1"/>
        <rFont val="Calibri"/>
        <family val="2"/>
        <scheme val="minor"/>
      </rPr>
      <t>id</t>
    </r>
    <r>
      <rPr>
        <b/>
        <sz val="11"/>
        <color theme="1"/>
        <rFont val="Calibri"/>
        <family val="2"/>
        <scheme val="minor"/>
      </rPr>
      <t>)</t>
    </r>
  </si>
  <si>
    <r>
      <t xml:space="preserve">rasvaprotsent </t>
    </r>
    <r>
      <rPr>
        <b/>
        <sz val="11"/>
        <color theme="1"/>
        <rFont val="Calibri"/>
        <family val="2"/>
        <scheme val="minor"/>
      </rPr>
      <t>(r)</t>
    </r>
  </si>
  <si>
    <r>
      <t xml:space="preserve">kehamassiindeks </t>
    </r>
    <r>
      <rPr>
        <b/>
        <sz val="11"/>
        <color theme="1"/>
        <rFont val="Calibri"/>
        <family val="2"/>
        <scheme val="minor"/>
      </rPr>
      <t>(k</t>
    </r>
    <r>
      <rPr>
        <b/>
        <vertAlign val="subscript"/>
        <sz val="11"/>
        <color theme="1"/>
        <rFont val="Calibri"/>
        <family val="2"/>
        <scheme val="minor"/>
      </rPr>
      <t>ind</t>
    </r>
    <r>
      <rPr>
        <b/>
        <sz val="11"/>
        <color theme="1"/>
        <rFont val="Calibri"/>
        <family val="2"/>
        <scheme val="minor"/>
      </rPr>
      <t>)</t>
    </r>
  </si>
  <si>
    <r>
      <t xml:space="preserve">tihedus </t>
    </r>
    <r>
      <rPr>
        <b/>
        <sz val="11"/>
        <color theme="1"/>
        <rFont val="Calibri"/>
        <family val="2"/>
        <scheme val="minor"/>
      </rPr>
      <t>(p)</t>
    </r>
  </si>
  <si>
    <r>
      <t xml:space="preserve">pindala </t>
    </r>
    <r>
      <rPr>
        <b/>
        <sz val="11"/>
        <color theme="1"/>
        <rFont val="Calibri"/>
        <family val="2"/>
        <scheme val="minor"/>
      </rPr>
      <t>(S)</t>
    </r>
  </si>
  <si>
    <r>
      <t xml:space="preserve">ruumala </t>
    </r>
    <r>
      <rPr>
        <b/>
        <sz val="11"/>
        <color theme="1"/>
        <rFont val="Calibri"/>
        <family val="2"/>
        <scheme val="minor"/>
      </rPr>
      <t>(V)</t>
    </r>
  </si>
  <si>
    <t>Rakendus inimese kehakarakteristikute hindamiseks soo, vanuse, pikkuse ja kehakaalu põhjal. Rakendus arvutab ideaalkaalu, kehamassiindeksi (KMI), keharasvaprotsendi, keha tiheduse, ruumala ja kehapindala.</t>
  </si>
  <si>
    <r>
      <t xml:space="preserve">IF tingimuse kasutus, INDEX MATCH, lahtrite täitmine valemite abil, </t>
    </r>
    <r>
      <rPr>
        <b/>
        <i/>
        <sz val="16"/>
        <color theme="1"/>
        <rFont val="Calibri"/>
        <family val="2"/>
        <scheme val="minor"/>
      </rPr>
      <t>advanced filter</t>
    </r>
    <r>
      <rPr>
        <sz val="16"/>
        <color theme="1"/>
        <rFont val="Calibri"/>
        <family val="2"/>
        <scheme val="minor"/>
      </rPr>
      <t xml:space="preserve"> kasutamine. RAA0051: SISEMAJANDUSE KOGUPRODUKT (ESA 2010) --- Aasta, Maakond, majandussektor ning näitaja</t>
    </r>
  </si>
  <si>
    <t>väljamõeldud_inimesed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</si>
</sst>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[$-F800]dddd\,\ mmmm\ dd\,\ yyyy"/>
    <numFmt numFmtId="165" formatCode="0.0"/>
    <numFmt numFmtId="166" formatCode=";;;&quot;pikkus&quot;"/>
    <numFmt numFmtId="167" formatCode="&quot;ruumala&quot;"/>
    <numFmt numFmtId="168" formatCode=";;;&quot;hinnang&quot;"/>
    <numFmt numFmtId="169" formatCode="&quot;pikkus&quot;"/>
  </numFmts>
  <fonts count="3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i/>
      <sz val="11"/>
      <color theme="1"/>
      <name val="Calibri"/>
      <family val="2"/>
      <charset val="186"/>
      <scheme val="minor"/>
    </font>
    <font>
      <b/>
      <sz val="12"/>
      <name val="Calibri"/>
      <family val="2"/>
      <charset val="186"/>
      <scheme val="minor"/>
    </font>
    <font>
      <b/>
      <sz val="16"/>
      <color rgb="FFFF0000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86"/>
    </font>
    <font>
      <vertAlign val="subscript"/>
      <sz val="11"/>
      <color theme="1"/>
      <name val="Calibri"/>
      <family val="2"/>
      <charset val="186"/>
      <scheme val="minor"/>
    </font>
    <font>
      <vertAlign val="superscript"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22"/>
      <color theme="1"/>
      <name val="Calibri"/>
      <family val="2"/>
      <charset val="186"/>
      <scheme val="minor"/>
    </font>
    <font>
      <b/>
      <sz val="22"/>
      <color theme="1"/>
      <name val="Calibri"/>
      <family val="2"/>
      <scheme val="minor"/>
    </font>
    <font>
      <sz val="24"/>
      <color theme="1"/>
      <name val="Calibri"/>
      <family val="2"/>
      <charset val="186"/>
      <scheme val="minor"/>
    </font>
    <font>
      <u/>
      <sz val="22"/>
      <color theme="10"/>
      <name val="Calibri"/>
      <family val="2"/>
      <charset val="186"/>
      <scheme val="minor"/>
    </font>
    <font>
      <u/>
      <sz val="18"/>
      <color theme="10"/>
      <name val="Calibri"/>
      <family val="2"/>
      <charset val="186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20"/>
      <color theme="1"/>
      <name val="Calibri"/>
      <family val="2"/>
      <charset val="186"/>
      <scheme val="minor"/>
    </font>
    <font>
      <sz val="18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b/>
      <vertAlign val="sub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14" fontId="0" fillId="0" borderId="0" xfId="0" applyNumberFormat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1" fillId="0" borderId="0" xfId="0" applyFont="1" applyAlignment="1" applyProtection="1">
      <alignment horizontal="left"/>
      <protection locked="0"/>
    </xf>
    <xf numFmtId="0" fontId="8" fillId="0" borderId="0" xfId="0" applyFont="1"/>
    <xf numFmtId="2" fontId="8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2" fontId="8" fillId="2" borderId="14" xfId="0" applyNumberFormat="1" applyFont="1" applyFill="1" applyBorder="1"/>
    <xf numFmtId="0" fontId="0" fillId="2" borderId="14" xfId="0" applyFill="1" applyBorder="1"/>
    <xf numFmtId="2" fontId="8" fillId="0" borderId="14" xfId="0" applyNumberFormat="1" applyFont="1" applyBorder="1"/>
    <xf numFmtId="0" fontId="0" fillId="0" borderId="14" xfId="0" applyBorder="1"/>
    <xf numFmtId="0" fontId="2" fillId="4" borderId="5" xfId="0" applyFont="1" applyFill="1" applyBorder="1" applyAlignment="1">
      <alignment wrapText="1"/>
    </xf>
    <xf numFmtId="2" fontId="0" fillId="4" borderId="5" xfId="0" applyNumberFormat="1" applyFill="1" applyBorder="1"/>
    <xf numFmtId="0" fontId="0" fillId="0" borderId="0" xfId="0" applyAlignment="1">
      <alignment horizontal="right"/>
    </xf>
    <xf numFmtId="0" fontId="0" fillId="0" borderId="5" xfId="0" applyBorder="1" applyAlignment="1">
      <alignment vertical="center"/>
    </xf>
    <xf numFmtId="165" fontId="0" fillId="0" borderId="5" xfId="0" applyNumberFormat="1" applyBorder="1"/>
    <xf numFmtId="0" fontId="0" fillId="0" borderId="0" xfId="0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67" fontId="0" fillId="5" borderId="5" xfId="0" applyNumberFormat="1" applyFill="1" applyBorder="1"/>
    <xf numFmtId="168" fontId="0" fillId="5" borderId="5" xfId="0" applyNumberFormat="1" applyFill="1" applyBorder="1"/>
    <xf numFmtId="167" fontId="0" fillId="0" borderId="12" xfId="0" applyNumberFormat="1" applyBorder="1"/>
    <xf numFmtId="169" fontId="0" fillId="0" borderId="5" xfId="0" applyNumberFormat="1" applyBorder="1" applyAlignment="1">
      <alignment horizontal="center"/>
    </xf>
    <xf numFmtId="0" fontId="0" fillId="5" borderId="5" xfId="0" applyFill="1" applyBorder="1"/>
    <xf numFmtId="0" fontId="2" fillId="0" borderId="5" xfId="0" applyFont="1" applyBorder="1"/>
    <xf numFmtId="3" fontId="0" fillId="0" borderId="5" xfId="0" applyNumberFormat="1" applyBorder="1"/>
    <xf numFmtId="0" fontId="7" fillId="4" borderId="5" xfId="0" applyFont="1" applyFill="1" applyBorder="1"/>
    <xf numFmtId="0" fontId="8" fillId="0" borderId="5" xfId="0" applyFont="1" applyBorder="1"/>
    <xf numFmtId="2" fontId="8" fillId="0" borderId="5" xfId="0" applyNumberFormat="1" applyFont="1" applyBorder="1"/>
    <xf numFmtId="2" fontId="0" fillId="0" borderId="0" xfId="0" applyNumberFormat="1"/>
    <xf numFmtId="2" fontId="0" fillId="0" borderId="0" xfId="0" applyNumberFormat="1" applyAlignment="1">
      <alignment wrapText="1"/>
    </xf>
    <xf numFmtId="0" fontId="2" fillId="7" borderId="5" xfId="0" applyFont="1" applyFill="1" applyBorder="1"/>
    <xf numFmtId="0" fontId="11" fillId="7" borderId="5" xfId="0" applyFont="1" applyFill="1" applyBorder="1"/>
    <xf numFmtId="0" fontId="0" fillId="0" borderId="0" xfId="0" pivotButton="1"/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166" fontId="11" fillId="0" borderId="5" xfId="0" applyNumberFormat="1" applyFont="1" applyBorder="1"/>
    <xf numFmtId="0" fontId="11" fillId="0" borderId="0" xfId="0" applyFont="1"/>
    <xf numFmtId="0" fontId="12" fillId="0" borderId="5" xfId="1" applyBorder="1"/>
    <xf numFmtId="0" fontId="11" fillId="7" borderId="27" xfId="0" applyFont="1" applyFill="1" applyBorder="1"/>
    <xf numFmtId="44" fontId="0" fillId="0" borderId="6" xfId="0" applyNumberFormat="1" applyBorder="1"/>
    <xf numFmtId="44" fontId="0" fillId="0" borderId="9" xfId="0" applyNumberFormat="1" applyBorder="1"/>
    <xf numFmtId="1" fontId="0" fillId="0" borderId="8" xfId="0" applyNumberFormat="1" applyBorder="1"/>
    <xf numFmtId="0" fontId="7" fillId="4" borderId="2" xfId="0" applyFont="1" applyFill="1" applyBorder="1"/>
    <xf numFmtId="0" fontId="8" fillId="0" borderId="5" xfId="0" applyFont="1" applyBorder="1" applyAlignment="1">
      <alignment horizontal="left" vertical="top"/>
    </xf>
    <xf numFmtId="2" fontId="8" fillId="2" borderId="0" xfId="0" applyNumberFormat="1" applyFont="1" applyFill="1"/>
    <xf numFmtId="0" fontId="0" fillId="2" borderId="0" xfId="0" applyFill="1"/>
    <xf numFmtId="0" fontId="7" fillId="4" borderId="19" xfId="0" applyFont="1" applyFill="1" applyBorder="1"/>
    <xf numFmtId="0" fontId="7" fillId="4" borderId="20" xfId="0" applyFont="1" applyFill="1" applyBorder="1"/>
    <xf numFmtId="0" fontId="7" fillId="4" borderId="21" xfId="0" applyFont="1" applyFill="1" applyBorder="1"/>
    <xf numFmtId="0" fontId="8" fillId="2" borderId="32" xfId="0" applyFont="1" applyFill="1" applyBorder="1"/>
    <xf numFmtId="0" fontId="0" fillId="2" borderId="33" xfId="0" applyFill="1" applyBorder="1"/>
    <xf numFmtId="0" fontId="8" fillId="0" borderId="32" xfId="0" applyFont="1" applyBorder="1"/>
    <xf numFmtId="0" fontId="0" fillId="0" borderId="33" xfId="0" applyBorder="1"/>
    <xf numFmtId="0" fontId="8" fillId="0" borderId="22" xfId="0" applyFont="1" applyBorder="1"/>
    <xf numFmtId="0" fontId="0" fillId="0" borderId="23" xfId="0" applyBorder="1"/>
    <xf numFmtId="0" fontId="8" fillId="2" borderId="22" xfId="0" applyFont="1" applyFill="1" applyBorder="1"/>
    <xf numFmtId="0" fontId="0" fillId="2" borderId="23" xfId="0" applyFill="1" applyBorder="1"/>
    <xf numFmtId="0" fontId="8" fillId="2" borderId="24" xfId="0" applyFont="1" applyFill="1" applyBorder="1"/>
    <xf numFmtId="2" fontId="8" fillId="2" borderId="25" xfId="0" applyNumberFormat="1" applyFont="1" applyFill="1" applyBorder="1"/>
    <xf numFmtId="0" fontId="2" fillId="2" borderId="25" xfId="0" applyFont="1" applyFill="1" applyBorder="1"/>
    <xf numFmtId="0" fontId="0" fillId="2" borderId="25" xfId="0" applyFill="1" applyBorder="1"/>
    <xf numFmtId="2" fontId="0" fillId="2" borderId="26" xfId="0" applyNumberFormat="1" applyFill="1" applyBorder="1"/>
    <xf numFmtId="2" fontId="11" fillId="2" borderId="31" xfId="0" applyNumberFormat="1" applyFont="1" applyFill="1" applyBorder="1"/>
    <xf numFmtId="2" fontId="11" fillId="0" borderId="31" xfId="0" applyNumberFormat="1" applyFont="1" applyBorder="1"/>
    <xf numFmtId="0" fontId="11" fillId="2" borderId="31" xfId="0" applyFont="1" applyFill="1" applyBorder="1"/>
    <xf numFmtId="0" fontId="11" fillId="0" borderId="31" xfId="0" applyFont="1" applyBorder="1"/>
    <xf numFmtId="0" fontId="7" fillId="4" borderId="5" xfId="0" applyFont="1" applyFill="1" applyBorder="1" applyAlignment="1">
      <alignment wrapText="1"/>
    </xf>
    <xf numFmtId="0" fontId="7" fillId="4" borderId="37" xfId="0" applyFont="1" applyFill="1" applyBorder="1"/>
    <xf numFmtId="0" fontId="7" fillId="4" borderId="38" xfId="0" applyFont="1" applyFill="1" applyBorder="1" applyAlignment="1">
      <alignment wrapText="1"/>
    </xf>
    <xf numFmtId="0" fontId="0" fillId="0" borderId="39" xfId="0" applyBorder="1"/>
    <xf numFmtId="0" fontId="0" fillId="0" borderId="40" xfId="0" applyBorder="1"/>
    <xf numFmtId="0" fontId="8" fillId="0" borderId="40" xfId="0" applyFont="1" applyBorder="1" applyAlignment="1">
      <alignment wrapText="1"/>
    </xf>
    <xf numFmtId="0" fontId="0" fillId="0" borderId="41" xfId="0" applyBorder="1"/>
    <xf numFmtId="0" fontId="11" fillId="8" borderId="5" xfId="0" applyFont="1" applyFill="1" applyBorder="1"/>
    <xf numFmtId="0" fontId="21" fillId="0" borderId="5" xfId="1" applyFont="1" applyBorder="1" applyAlignment="1">
      <alignment horizontal="center" wrapText="1"/>
    </xf>
    <xf numFmtId="0" fontId="22" fillId="0" borderId="5" xfId="1" applyFont="1" applyBorder="1"/>
    <xf numFmtId="0" fontId="21" fillId="0" borderId="5" xfId="1" applyFont="1" applyBorder="1" applyAlignment="1"/>
    <xf numFmtId="0" fontId="23" fillId="7" borderId="5" xfId="0" applyFont="1" applyFill="1" applyBorder="1"/>
    <xf numFmtId="0" fontId="19" fillId="8" borderId="5" xfId="0" applyFont="1" applyFill="1" applyBorder="1"/>
    <xf numFmtId="0" fontId="24" fillId="8" borderId="5" xfId="0" applyFont="1" applyFill="1" applyBorder="1"/>
    <xf numFmtId="0" fontId="25" fillId="0" borderId="5" xfId="1" applyFont="1" applyBorder="1"/>
    <xf numFmtId="0" fontId="27" fillId="8" borderId="5" xfId="0" applyFont="1" applyFill="1" applyBorder="1"/>
    <xf numFmtId="0" fontId="3" fillId="0" borderId="5" xfId="0" applyFont="1" applyBorder="1"/>
    <xf numFmtId="0" fontId="6" fillId="0" borderId="5" xfId="0" applyFont="1" applyBorder="1"/>
    <xf numFmtId="0" fontId="0" fillId="0" borderId="2" xfId="0" applyBorder="1" applyAlignment="1">
      <alignment horizontal="center"/>
    </xf>
    <xf numFmtId="0" fontId="12" fillId="0" borderId="28" xfId="1" applyBorder="1" applyAlignment="1">
      <alignment wrapText="1"/>
    </xf>
    <xf numFmtId="0" fontId="12" fillId="0" borderId="28" xfId="1" applyBorder="1" applyAlignment="1">
      <alignment vertical="center"/>
    </xf>
    <xf numFmtId="0" fontId="32" fillId="0" borderId="29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6" fillId="0" borderId="19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0" fontId="16" fillId="0" borderId="2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6" fillId="0" borderId="25" xfId="0" applyFont="1" applyBorder="1" applyAlignment="1">
      <alignment horizontal="center" wrapText="1"/>
    </xf>
    <xf numFmtId="0" fontId="16" fillId="0" borderId="26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30" fillId="0" borderId="19" xfId="0" applyFont="1" applyBorder="1" applyAlignment="1">
      <alignment horizontal="center" wrapText="1"/>
    </xf>
    <xf numFmtId="0" fontId="30" fillId="0" borderId="20" xfId="0" applyFont="1" applyBorder="1" applyAlignment="1">
      <alignment horizontal="center" wrapText="1"/>
    </xf>
    <xf numFmtId="0" fontId="30" fillId="0" borderId="21" xfId="0" applyFont="1" applyBorder="1" applyAlignment="1">
      <alignment horizontal="center" wrapText="1"/>
    </xf>
    <xf numFmtId="0" fontId="30" fillId="0" borderId="22" xfId="0" applyFont="1" applyBorder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0" borderId="23" xfId="0" applyFont="1" applyBorder="1" applyAlignment="1">
      <alignment horizontal="center" wrapText="1"/>
    </xf>
    <xf numFmtId="0" fontId="30" fillId="0" borderId="24" xfId="0" applyFont="1" applyBorder="1" applyAlignment="1">
      <alignment horizontal="center" wrapText="1"/>
    </xf>
    <xf numFmtId="0" fontId="30" fillId="0" borderId="25" xfId="0" applyFont="1" applyBorder="1" applyAlignment="1">
      <alignment horizontal="center" wrapText="1"/>
    </xf>
    <xf numFmtId="0" fontId="30" fillId="0" borderId="26" xfId="0" applyFont="1" applyBorder="1" applyAlignment="1">
      <alignment horizont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6" fillId="0" borderId="34" xfId="0" applyFont="1" applyBorder="1" applyAlignment="1">
      <alignment horizontal="center" wrapText="1"/>
    </xf>
    <xf numFmtId="0" fontId="26" fillId="0" borderId="35" xfId="0" applyFont="1" applyBorder="1" applyAlignment="1">
      <alignment horizontal="center" wrapText="1"/>
    </xf>
    <xf numFmtId="0" fontId="26" fillId="0" borderId="36" xfId="0" applyFont="1" applyBorder="1" applyAlignment="1">
      <alignment horizontal="center" wrapText="1"/>
    </xf>
    <xf numFmtId="0" fontId="26" fillId="0" borderId="37" xfId="0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26" fillId="0" borderId="38" xfId="0" applyFont="1" applyBorder="1" applyAlignment="1">
      <alignment horizontal="center" wrapText="1"/>
    </xf>
    <xf numFmtId="0" fontId="26" fillId="0" borderId="39" xfId="0" applyFont="1" applyBorder="1" applyAlignment="1">
      <alignment horizontal="center" wrapText="1"/>
    </xf>
    <xf numFmtId="0" fontId="26" fillId="0" borderId="40" xfId="0" applyFont="1" applyBorder="1" applyAlignment="1">
      <alignment horizontal="center" wrapText="1"/>
    </xf>
    <xf numFmtId="0" fontId="26" fillId="0" borderId="41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22" fillId="0" borderId="5" xfId="1" applyFont="1" applyBorder="1" applyAlignment="1">
      <alignment horizontal="center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26" fillId="0" borderId="19" xfId="0" applyFont="1" applyBorder="1" applyAlignment="1">
      <alignment horizontal="center" wrapText="1"/>
    </xf>
    <xf numFmtId="0" fontId="26" fillId="0" borderId="20" xfId="0" applyFont="1" applyBorder="1" applyAlignment="1">
      <alignment horizontal="center" wrapText="1"/>
    </xf>
    <xf numFmtId="0" fontId="26" fillId="0" borderId="21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23" xfId="0" applyFont="1" applyBorder="1" applyAlignment="1">
      <alignment horizontal="center" wrapText="1"/>
    </xf>
    <xf numFmtId="0" fontId="26" fillId="0" borderId="24" xfId="0" applyFont="1" applyBorder="1" applyAlignment="1">
      <alignment horizontal="center" wrapText="1"/>
    </xf>
    <xf numFmtId="0" fontId="26" fillId="0" borderId="25" xfId="0" applyFont="1" applyBorder="1" applyAlignment="1">
      <alignment horizontal="center" wrapText="1"/>
    </xf>
    <xf numFmtId="0" fontId="26" fillId="0" borderId="2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5">
    <dxf>
      <numFmt numFmtId="34" formatCode="_-* #,##0.00\ &quot;€&quot;_-;\-* #,##0.00\ &quot;€&quot;_-;_-* &quot;-&quot;??\ &quot;€&quot;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4" formatCode="_-* #,##0.00\ &quot;€&quot;_-;\-* #,##0.00\ &quot;€&quot;_-;_-* &quot;-&quot;??\ &quot;€&quot;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14" formatCode="0.00%"/>
    </dxf>
    <dxf>
      <numFmt numFmtId="14" formatCode="0.00%"/>
    </dxf>
    <dxf>
      <alignment wrapText="1"/>
    </dxf>
    <dxf>
      <alignment wrapText="1"/>
    </dxf>
    <dxf>
      <numFmt numFmtId="2" formatCode="0.00"/>
    </dxf>
    <dxf>
      <alignment wrapText="1"/>
    </dxf>
    <dxf>
      <numFmt numFmtId="2" formatCode="0.00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1646521</xdr:colOff>
      <xdr:row>11</xdr:row>
      <xdr:rowOff>122297</xdr:rowOff>
    </xdr:from>
    <xdr:to>
      <xdr:col>9</xdr:col>
      <xdr:colOff>285625</xdr:colOff>
      <xdr:row>13</xdr:row>
      <xdr:rowOff>85704</xdr:rowOff>
    </xdr:to>
    <xdr:pic>
      <xdr:nvPicPr>
        <xdr:cNvPr id="3" name="Graphic 2" descr="Checkbox Checked with solid fill">
          <a:extLst>
            <a:ext uri="{FF2B5EF4-FFF2-40B4-BE49-F238E27FC236}">
              <a16:creationId xmlns:a16="http://schemas.microsoft.com/office/drawing/2014/main" id="{60C752A2-65F9-A31E-C3EC-8EC06C53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31027" y="2987031"/>
          <a:ext cx="317433" cy="310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1536</xdr:colOff>
      <xdr:row>8</xdr:row>
      <xdr:rowOff>16122</xdr:rowOff>
    </xdr:from>
    <xdr:to>
      <xdr:col>20</xdr:col>
      <xdr:colOff>864721</xdr:colOff>
      <xdr:row>21</xdr:row>
      <xdr:rowOff>55232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182AD1-7A18-4F70-B587-35DAC969B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48" b="3967"/>
        <a:stretch/>
      </xdr:blipFill>
      <xdr:spPr>
        <a:xfrm>
          <a:off x="9610757" y="2253996"/>
          <a:ext cx="5523417" cy="25176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ndmet&#246;&#246;tlus/KT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ndmet&#246;&#246;tlus/KT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us Lüllman" refreshedDate="45592.471379745373" createdVersion="8" refreshedVersion="8" minRefreshableVersion="3" recordCount="360" xr:uid="{7ABE74F5-C920-4C8F-A4B8-B88BF9F7B8EC}">
  <cacheSource type="worksheet">
    <worksheetSource name="tabel0" r:id="rId2"/>
  </cacheSource>
  <cacheFields count="6">
    <cacheField name="majandussektorid" numFmtId="0">
      <sharedItems count="3">
        <s v="Põllumajandus, metsamajandus ja kalapüük"/>
        <s v="Tööstus ja ehitus*"/>
        <s v="Teenused*"/>
      </sharedItems>
    </cacheField>
    <cacheField name="Väärtus jooksevhindades, miljonit eurot" numFmtId="2">
      <sharedItems containsSemiMixedTypes="0" containsString="0" containsNumber="1" minValue="5.04" maxValue="12710.72" count="355">
        <n v="98.82"/>
        <n v="2286.81"/>
        <n v="7557.54"/>
        <n v="8.68"/>
        <n v="21.15"/>
        <n v="27.91"/>
        <n v="18.43"/>
        <n v="650.86"/>
        <n v="475.93"/>
        <n v="48.05"/>
        <n v="52.5"/>
        <n v="75.22"/>
        <n v="37.29"/>
        <n v="99.23"/>
        <n v="102.15"/>
        <n v="17.32"/>
        <n v="61.22"/>
        <n v="91.29"/>
        <n v="59.99"/>
        <n v="210.6"/>
        <n v="219.95"/>
        <n v="30.02"/>
        <n v="48.15"/>
        <n v="65.88"/>
        <n v="58.54"/>
        <n v="231.04"/>
        <n v="386.34"/>
        <n v="26.32"/>
        <n v="65.790000000000006"/>
        <n v="96.76"/>
        <n v="17.48"/>
        <n v="108.5"/>
        <n v="146.47999999999999"/>
        <n v="68.88"/>
        <n v="411.47"/>
        <n v="1073.1500000000001"/>
        <n v="24.89"/>
        <n v="65.58"/>
        <n v="78.55"/>
        <n v="57.69"/>
        <n v="132.88999999999999"/>
        <n v="161.18"/>
        <n v="21.63"/>
        <n v="81.14"/>
        <n v="111.32"/>
        <n v="76.430000000000007"/>
        <n v="2371.85"/>
        <n v="8124.5"/>
        <n v="9.9"/>
        <n v="21.33"/>
        <n v="27.75"/>
        <n v="14.86"/>
        <n v="801.27"/>
        <n v="451.03"/>
        <n v="46.07"/>
        <n v="62.58"/>
        <n v="75.34"/>
        <n v="36.53"/>
        <n v="92.82"/>
        <n v="101.21"/>
        <n v="14.92"/>
        <n v="59.21"/>
        <n v="94.53"/>
        <n v="58.66"/>
        <n v="202.38"/>
        <n v="195.13"/>
        <n v="21.6"/>
        <n v="46.62"/>
        <n v="81.430000000000007"/>
        <n v="60.86"/>
        <n v="242.13"/>
        <n v="384.01"/>
        <n v="25.6"/>
        <n v="71.25"/>
        <n v="124.84"/>
        <n v="17.73"/>
        <n v="99.75"/>
        <n v="157.49"/>
        <n v="73.86"/>
        <n v="431.84"/>
        <n v="1110.3800000000001"/>
        <n v="29.35"/>
        <n v="69.510000000000005"/>
        <n v="83.16"/>
        <n v="65.150000000000006"/>
        <n v="133.49"/>
        <n v="192.06"/>
        <n v="32.46"/>
        <n v="87.86"/>
        <n v="110"/>
        <n v="78.849999999999994"/>
        <n v="2523.56"/>
        <n v="8732.83"/>
        <n v="7.79"/>
        <n v="21.24"/>
        <n v="27"/>
        <n v="13.83"/>
        <n v="757.47"/>
        <n v="467.66"/>
        <n v="48.89"/>
        <n v="59.16"/>
        <n v="71.459999999999994"/>
        <n v="36.630000000000003"/>
        <n v="91.01"/>
        <n v="104.37"/>
        <n v="15.08"/>
        <n v="52.94"/>
        <n v="94.62"/>
        <n v="62.98"/>
        <n v="224.92"/>
        <n v="188.59"/>
        <n v="25.67"/>
        <n v="43.5"/>
        <n v="82.03"/>
        <n v="66.06"/>
        <n v="239.83"/>
        <n v="397.06"/>
        <n v="38.64"/>
        <n v="70.28"/>
        <n v="125.21"/>
        <n v="17.010000000000002"/>
        <n v="102.83"/>
        <n v="160.99"/>
        <n v="471.41"/>
        <n v="1180.22"/>
        <n v="33.200000000000003"/>
        <n v="71.849999999999994"/>
        <n v="87.15"/>
        <n v="79.989999999999995"/>
        <n v="146.25"/>
        <n v="187.11"/>
        <n v="33.33"/>
        <n v="90.24"/>
        <n v="107.09"/>
        <n v="55.55"/>
        <n v="2551.3000000000002"/>
        <n v="9090.7199999999993"/>
        <n v="8.7100000000000009"/>
        <n v="24.49"/>
        <n v="29.95"/>
        <n v="13.76"/>
        <n v="618.14"/>
        <n v="479.65"/>
        <n v="42.96"/>
        <n v="61.48"/>
        <n v="80.94"/>
        <n v="33.44"/>
        <n v="89.65"/>
        <n v="104.4"/>
        <n v="15.58"/>
        <n v="50.1"/>
        <n v="92.72"/>
        <n v="57.32"/>
        <n v="217.5"/>
        <n v="202.9"/>
        <n v="24.11"/>
        <n v="44.05"/>
        <n v="90.37"/>
        <n v="64.97"/>
        <n v="267.92"/>
        <n v="429.69"/>
        <n v="35.08"/>
        <n v="79.81"/>
        <n v="132.55000000000001"/>
        <n v="16.03"/>
        <n v="102.73"/>
        <n v="179.31"/>
        <n v="74.8"/>
        <n v="492.79"/>
        <n v="1230.48"/>
        <n v="72.650000000000006"/>
        <n v="93.12"/>
        <n v="74.92"/>
        <n v="153.88"/>
        <n v="187.32"/>
        <n v="39.979999999999997"/>
        <n v="96.83"/>
        <n v="104.46"/>
        <n v="52.72"/>
        <n v="2766.84"/>
        <n v="9498.34"/>
        <n v="8.25"/>
        <n v="29.99"/>
        <n v="32.78"/>
        <n v="10.55"/>
        <n v="576.74"/>
        <n v="480.48"/>
        <n v="29.54"/>
        <n v="69.599999999999994"/>
        <n v="78.349999999999994"/>
        <n v="20.92"/>
        <n v="107.51"/>
        <n v="109.29"/>
        <n v="11.88"/>
        <n v="56.02"/>
        <n v="89.28"/>
        <n v="40.4"/>
        <n v="237.21"/>
        <n v="209.44"/>
        <n v="14.28"/>
        <n v="38.619999999999997"/>
        <n v="91.77"/>
        <n v="56.55"/>
        <n v="289.33999999999997"/>
        <n v="461.99"/>
        <n v="28.12"/>
        <n v="82.08"/>
        <n v="137.51"/>
        <n v="11.45"/>
        <n v="109.64"/>
        <n v="249.98"/>
        <n v="62.24"/>
        <n v="528.22"/>
        <n v="1357.13"/>
        <n v="27.64"/>
        <n v="85.45"/>
        <n v="129.5"/>
        <n v="60.43"/>
        <n v="156.62"/>
        <n v="195.16"/>
        <n v="24.69"/>
        <n v="95.96"/>
        <n v="118.76"/>
        <n v="45.93"/>
        <n v="2920.59"/>
        <n v="10518.19"/>
        <n v="5.04"/>
        <n v="26.04"/>
        <n v="48.1"/>
        <n v="16.22"/>
        <n v="682.4"/>
        <n v="492.99"/>
        <n v="41.52"/>
        <n v="77.63"/>
        <n v="101.54"/>
        <n v="114.07"/>
        <n v="119.89"/>
        <n v="14.54"/>
        <n v="60.36"/>
        <n v="95.95"/>
        <n v="49.83"/>
        <n v="264.99"/>
        <n v="230.36"/>
        <n v="24.24"/>
        <n v="45.52"/>
        <n v="99.06"/>
        <n v="65.510000000000005"/>
        <n v="304.7"/>
        <n v="481.29"/>
        <n v="28.71"/>
        <n v="98.22"/>
        <n v="154.74"/>
        <n v="15.38"/>
        <n v="117.12"/>
        <n v="213.24"/>
        <n v="75.290000000000006"/>
        <n v="568.41"/>
        <n v="1495.26"/>
        <n v="28.76"/>
        <n v="85.66"/>
        <n v="89.02"/>
        <n v="163.76"/>
        <n v="218.53"/>
        <n v="29.96"/>
        <n v="104.77"/>
        <n v="128.43"/>
        <n v="67.209999999999994"/>
        <n v="3091.34"/>
        <n v="11489.15"/>
        <n v="6.5"/>
        <n v="32.69"/>
        <n v="52.65"/>
        <n v="12.95"/>
        <n v="857.98"/>
        <n v="534.74"/>
        <n v="27.92"/>
        <n v="68.41"/>
        <n v="115.18"/>
        <n v="27.53"/>
        <n v="140.87"/>
        <n v="12.06"/>
        <n v="54.73"/>
        <n v="105.68"/>
        <n v="35.61"/>
        <n v="279.91000000000003"/>
        <n v="241.76"/>
        <n v="17.5"/>
        <n v="40.770000000000003"/>
        <n v="100.53"/>
        <n v="58.97"/>
        <n v="319.06"/>
        <n v="564.70000000000005"/>
        <n v="22.96"/>
        <n v="119.2"/>
        <n v="179.44"/>
        <n v="13.97"/>
        <n v="120.07"/>
        <n v="242.51"/>
        <n v="61.21"/>
        <n v="636.96"/>
        <n v="1658.45"/>
        <n v="25.07"/>
        <n v="93.48"/>
        <n v="110.53"/>
        <n v="75.5"/>
        <n v="182.44"/>
        <n v="253.39"/>
        <n v="28.38"/>
        <n v="115.81"/>
        <n v="144.62"/>
        <n v="82.15"/>
        <n v="3113.63"/>
        <n v="12710.72"/>
        <n v="7.03"/>
        <n v="33.4"/>
        <n v="57.25"/>
        <n v="17.329999999999998"/>
        <n v="827.64"/>
        <n v="578.05999999999995"/>
        <n v="43.72"/>
        <n v="70.69"/>
        <n v="124.95"/>
        <n v="41.88"/>
        <n v="130.91999999999999"/>
        <n v="154.16999999999999"/>
        <n v="15.43"/>
        <n v="55.89"/>
        <n v="114.52"/>
        <n v="63.96"/>
        <n v="289.91000000000003"/>
        <n v="260.18"/>
        <n v="25.75"/>
        <n v="42.65"/>
        <n v="109.23"/>
        <n v="86.55"/>
        <n v="321.23"/>
        <n v="608.97"/>
        <n v="35.119999999999997"/>
        <n v="124.96"/>
        <n v="194.47"/>
        <n v="21.31"/>
        <n v="125.39"/>
        <n v="259.76"/>
        <n v="87.98"/>
        <n v="649.16"/>
        <n v="1840.54"/>
        <n v="33.6"/>
        <n v="99.12"/>
        <n v="118.48"/>
        <n v="101.2"/>
        <n v="188.55"/>
        <n v="277.06"/>
        <n v="37.840000000000003"/>
        <n v="122.38"/>
        <n v="155.78"/>
      </sharedItems>
    </cacheField>
    <cacheField name="maakond" numFmtId="0">
      <sharedItems count="15">
        <s v="Harju maakond"/>
        <s v="Hiiu maakond"/>
        <s v="Ida-Viru maakond"/>
        <s v="Jõgeva maakond"/>
        <s v="Järva maakond"/>
        <s v="Lääne maakond"/>
        <s v="Lääne-Viru maakond"/>
        <s v="Põlva maakond"/>
        <s v="Pärnu maakond"/>
        <s v="Rapla maakond"/>
        <s v="Saare maakond"/>
        <s v="Tartu maakond"/>
        <s v="Valga maakond"/>
        <s v="Viljandi maakond"/>
        <s v="Võru maakond"/>
      </sharedItems>
    </cacheField>
    <cacheField name="aasta" numFmtId="0">
      <sharedItems containsSemiMixedTypes="0" containsString="0" containsNumber="1" containsInteger="1" minValue="2012" maxValue="2019" count="8">
        <n v="2012"/>
        <n v="2013"/>
        <n v="2014"/>
        <n v="2015"/>
        <n v="2016"/>
        <n v="2017"/>
        <n v="2018"/>
        <n v="2019"/>
      </sharedItems>
    </cacheField>
    <cacheField name="maakondade rahvaarvud" numFmtId="0">
      <sharedItems containsSemiMixedTypes="0" containsString="0" containsNumber="1" containsInteger="1" minValue="8582" maxValue="598059"/>
    </cacheField>
    <cacheField name="majandusnäitajad el. kohta" numFmtId="0">
      <sharedItems containsSemiMixedTypes="0" containsString="0" containsNumber="1" minValue="72.010000000000005" maxValue="21253.29" count="360">
        <n v="174.37"/>
        <n v="4035.02"/>
        <n v="13335.09"/>
        <n v="1006.96"/>
        <n v="2453.6"/>
        <n v="3237.82"/>
        <n v="119.9"/>
        <n v="4234.17"/>
        <n v="3096.16"/>
        <n v="1503.11"/>
        <n v="1642.32"/>
        <n v="2353.0500000000002"/>
        <n v="1195.04"/>
        <n v="3180.04"/>
        <n v="3273.62"/>
        <n v="700.25"/>
        <n v="2475.14"/>
        <n v="3690.87"/>
        <n v="980.97"/>
        <n v="3443.76"/>
        <n v="3596.66"/>
        <n v="1071.1500000000001"/>
        <n v="1718.05"/>
        <n v="2350.67"/>
        <n v="693.7"/>
        <n v="2737.83"/>
        <n v="4578.1400000000003"/>
        <n v="741.35"/>
        <n v="1853.08"/>
        <n v="2725.4"/>
        <n v="549.08000000000004"/>
        <n v="3408.2"/>
        <n v="4601.2299999999996"/>
        <n v="448.79"/>
        <n v="2680.95"/>
        <n v="6992.16"/>
        <n v="801.15"/>
        <n v="2110.85"/>
        <n v="2528.3200000000002"/>
        <n v="1186.94"/>
        <n v="2734.14"/>
        <n v="3316.19"/>
        <n v="632.86"/>
        <n v="2374.04"/>
        <n v="3257.07"/>
        <n v="134.57"/>
        <n v="4176.03"/>
        <n v="14304.53"/>
        <n v="1146.0999999999999"/>
        <n v="2469.3200000000002"/>
        <n v="3212.55"/>
        <n v="97.82"/>
        <n v="5274.67"/>
        <n v="2969.08"/>
        <n v="1458.51"/>
        <n v="1981.19"/>
        <n v="2385.16"/>
        <n v="1181.7"/>
        <n v="3002.62"/>
        <n v="3274.03"/>
        <n v="605.96"/>
        <n v="2404.7600000000002"/>
        <n v="3839.25"/>
        <n v="969.3"/>
        <n v="3344.13"/>
        <n v="3224.33"/>
        <n v="776.53"/>
        <n v="1676.01"/>
        <n v="2927.45"/>
        <n v="727.32"/>
        <n v="2893.63"/>
        <n v="4589.1899999999996"/>
        <n v="729.99"/>
        <n v="2031.71"/>
        <n v="3559.84"/>
        <n v="557.28"/>
        <n v="3135.31"/>
        <n v="4950.18"/>
        <n v="482.43"/>
        <n v="2820.64"/>
        <n v="7252.65"/>
        <n v="959.46"/>
        <n v="2272.31"/>
        <n v="2718.54"/>
        <n v="1353.71"/>
        <n v="2773.7"/>
        <n v="3990.69"/>
        <n v="959.62"/>
        <n v="2597.41"/>
        <n v="3251.94"/>
        <n v="137.82"/>
        <n v="4411.0200000000004"/>
        <n v="15264.44"/>
        <n v="906.97"/>
        <n v="2472.9299999999998"/>
        <n v="3143.56"/>
        <n v="92.52"/>
        <n v="5067.2700000000004"/>
        <n v="3128.52"/>
        <n v="1569.75"/>
        <n v="1899.5"/>
        <n v="2294.4299999999998"/>
        <n v="1203.94"/>
        <n v="2991.29"/>
        <n v="3430.4"/>
        <n v="619.99"/>
        <n v="2176.54"/>
        <n v="3890.15"/>
        <n v="1057.01"/>
        <n v="3774.9"/>
        <n v="3165.16"/>
        <n v="928.69"/>
        <n v="1573.75"/>
        <n v="2967.69"/>
        <n v="797.55"/>
        <n v="2895.48"/>
        <n v="4793.7299999999996"/>
        <n v="1114.32"/>
        <n v="2026.76"/>
        <n v="3610.85"/>
        <n v="535.65"/>
        <n v="3238.13"/>
        <n v="5069.59"/>
        <n v="502.21"/>
        <n v="3097.55"/>
        <n v="7755.01"/>
        <n v="1100.21"/>
        <n v="2381.0300000000002"/>
        <n v="2888.06"/>
        <n v="1684.85"/>
        <n v="3080.5"/>
        <n v="3941.15"/>
        <n v="997.13"/>
        <n v="2699.69"/>
        <n v="3203.79"/>
        <n v="96.51"/>
        <n v="4432.41"/>
        <n v="15793.44"/>
        <n v="1014.91"/>
        <n v="2853.65"/>
        <n v="3489.86"/>
        <n v="93.23"/>
        <n v="4188.03"/>
        <n v="3249.73"/>
        <n v="1392.95"/>
        <n v="1993.45"/>
        <n v="2624.43"/>
        <n v="1110.6300000000001"/>
        <n v="2977.52"/>
        <n v="3467.4"/>
        <n v="647.28"/>
        <n v="2081.4299999999998"/>
        <n v="3852.1"/>
        <n v="970.88"/>
        <n v="3684.01"/>
        <n v="3436.71"/>
        <n v="878.71"/>
        <n v="1605.44"/>
        <n v="3293.61"/>
        <n v="788.96"/>
        <n v="3253.47"/>
        <n v="5217.91"/>
        <n v="1018.7"/>
        <n v="2317.63"/>
        <n v="3849.17"/>
        <n v="505.58"/>
        <n v="3240.08"/>
        <n v="5655.4"/>
        <n v="494.13"/>
        <n v="3255.38"/>
        <n v="8128.58"/>
        <n v="1084.02"/>
        <n v="2426.1999999999998"/>
        <n v="3109.8"/>
        <n v="1593.7"/>
        <n v="3273.35"/>
        <n v="3984.68"/>
        <n v="1205.23"/>
        <n v="2919.03"/>
        <n v="3149.04"/>
        <n v="91.49"/>
        <n v="4801.33"/>
        <n v="16482.59"/>
        <n v="882.54"/>
        <n v="3208.17"/>
        <n v="3506.63"/>
        <n v="72.010000000000005"/>
        <n v="3936.63"/>
        <n v="3279.59"/>
        <n v="943.83"/>
        <n v="2223.7800000000002"/>
        <n v="2503.35"/>
        <n v="681.23"/>
        <n v="3500.93"/>
        <n v="3558.89"/>
        <n v="483.32"/>
        <n v="2279.09"/>
        <n v="3632.22"/>
        <n v="679.37"/>
        <n v="3988.94"/>
        <n v="3521.95"/>
        <n v="506.06"/>
        <n v="1368.63"/>
        <n v="3252.18"/>
        <n v="681.35"/>
        <n v="3486.15"/>
        <n v="5566.35"/>
        <n v="823.47"/>
        <n v="2403.65"/>
        <n v="4026.88"/>
        <n v="341.99"/>
        <n v="3274.69"/>
        <n v="7466.32"/>
        <n v="429.23"/>
        <n v="3642.82"/>
        <n v="9359.32"/>
        <n v="905.52"/>
        <n v="2799.44"/>
        <n v="4242.5600000000004"/>
        <n v="1262.83"/>
        <n v="3272.94"/>
        <n v="4078.32"/>
        <n v="726.75"/>
        <n v="2824.6"/>
        <n v="3495.72"/>
        <n v="78.84"/>
        <n v="5013.41"/>
        <n v="18055.240000000002"/>
        <n v="539.9"/>
        <n v="2789.5"/>
        <n v="5152.6499999999996"/>
        <n v="112.73"/>
        <n v="4742.84"/>
        <n v="3426.4"/>
        <n v="1346.3"/>
        <n v="2517.19"/>
        <n v="3292.48"/>
        <n v="1202.51"/>
        <n v="3755.02"/>
        <n v="3946.61"/>
        <n v="598.33000000000004"/>
        <n v="2483.85"/>
        <n v="3948.4"/>
        <n v="846.64"/>
        <n v="4502.34"/>
        <n v="3913.96"/>
        <n v="866.86"/>
        <n v="1627.87"/>
        <n v="3542.54"/>
        <n v="793.72"/>
        <n v="3691.77"/>
        <n v="5831.34"/>
        <n v="842.31"/>
        <n v="2881.62"/>
        <n v="4539.83"/>
        <n v="461.76"/>
        <n v="3516.38"/>
        <n v="6402.26"/>
        <n v="517.28"/>
        <n v="3905.26"/>
        <n v="10273.17"/>
        <n v="955.99"/>
        <n v="2847.36"/>
        <n v="3395.49"/>
        <n v="1882.51"/>
        <n v="3463.04"/>
        <n v="4621.26"/>
        <n v="894.19"/>
        <n v="3127"/>
        <n v="3833.16"/>
        <n v="113.99"/>
        <n v="5243.03"/>
        <n v="19486.02"/>
        <n v="692.45"/>
        <n v="3482.48"/>
        <n v="5608.82"/>
        <n v="93.66"/>
        <n v="6205.29"/>
        <n v="3867.47"/>
        <n v="958.82"/>
        <n v="2349.33"/>
        <n v="3955.49"/>
        <n v="897.88"/>
        <n v="4071.62"/>
        <n v="4594.4399999999996"/>
        <n v="584.13"/>
        <n v="2650.88"/>
        <n v="5118.67"/>
        <n v="595.57000000000005"/>
        <n v="4681.47"/>
        <n v="4043.42"/>
        <n v="691.97"/>
        <n v="1612.1"/>
        <n v="3975.09"/>
        <n v="687.65"/>
        <n v="3720.56"/>
        <n v="6584.96"/>
        <n v="689.51"/>
        <n v="3579.69"/>
        <n v="5388.75"/>
        <n v="420.39"/>
        <n v="3613.19"/>
        <n v="7297.7"/>
        <n v="405.04"/>
        <n v="4214.87"/>
        <n v="10974.25"/>
        <n v="874.46"/>
        <n v="3260.66"/>
        <n v="3855.38"/>
        <n v="1613.87"/>
        <n v="3899.79"/>
        <n v="5416.4"/>
        <n v="785.43"/>
        <n v="3205.1"/>
        <n v="4002.44"/>
        <n v="137.36000000000001"/>
        <n v="5206.2299999999996"/>
        <n v="21253.29"/>
        <n v="748.91"/>
        <n v="3558.11"/>
        <n v="6098.86"/>
        <n v="127.2"/>
        <n v="6074.87"/>
        <n v="4242.95"/>
        <n v="1521.54"/>
        <n v="2460.15"/>
        <n v="4348.51"/>
        <n v="1382.82"/>
        <n v="4322.79"/>
        <n v="5090.47"/>
        <n v="752.43"/>
        <n v="2725.41"/>
        <n v="5584.43"/>
        <n v="1078.1300000000001"/>
        <n v="4886.8100000000004"/>
        <n v="4385.67"/>
        <n v="1029.75"/>
        <n v="1705.59"/>
        <n v="4368.1499999999996"/>
        <n v="1007.12"/>
        <n v="3737.93"/>
        <n v="7086.16"/>
        <n v="1054.31"/>
        <n v="3751.31"/>
        <n v="5838.01"/>
        <n v="643.65"/>
        <n v="3787.3"/>
        <n v="7845.84"/>
        <n v="575.12"/>
        <n v="4243.51"/>
        <n v="12031.48"/>
        <n v="1184.3499999999999"/>
        <n v="3493.83"/>
        <n v="4176.24"/>
        <n v="2182.4"/>
        <n v="4066.12"/>
        <n v="5974.85"/>
        <n v="1057.51"/>
        <n v="3420.16"/>
        <n v="4353.59"/>
      </sharedItems>
      <fieldGroup base="5">
        <rangePr autoStart="0" startNum="0" endNum="21253.29" groupInterval="500"/>
        <groupItems count="45">
          <s v="&lt;0"/>
          <s v="0-500"/>
          <s v="500-1000"/>
          <s v="1000-1500"/>
          <s v="1500-2000"/>
          <s v="2000-2500"/>
          <s v="2500-3000"/>
          <s v="3000-3500"/>
          <s v="3500-4000"/>
          <s v="4000-4500"/>
          <s v="4500-5000"/>
          <s v="5000-5500"/>
          <s v="5500-6000"/>
          <s v="6000-6500"/>
          <s v="6500-7000"/>
          <s v="7000-7500"/>
          <s v="7500-8000"/>
          <s v="8000-8500"/>
          <s v="8500-9000"/>
          <s v="9000-9500"/>
          <s v="9500-10000"/>
          <s v="10000-10500"/>
          <s v="10500-11000"/>
          <s v="11000-11500"/>
          <s v="11500-12000"/>
          <s v="12000-12500"/>
          <s v="12500-13000"/>
          <s v="13000-13500"/>
          <s v="13500-14000"/>
          <s v="14000-14500"/>
          <s v="14500-15000"/>
          <s v="15000-15500"/>
          <s v="15500-16000"/>
          <s v="16000-16500"/>
          <s v="16500-17000"/>
          <s v="17000-17500"/>
          <s v="17500-18000"/>
          <s v="18000-18500"/>
          <s v="18500-19000"/>
          <s v="19000-19500"/>
          <s v="19500-20000"/>
          <s v="20000-20500"/>
          <s v="20500-21000"/>
          <s v="21000-21500"/>
          <s v="&gt;215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us Lüllman" refreshedDate="45592.466757523151" createdVersion="8" refreshedVersion="8" minRefreshableVersion="3" recordCount="360" xr:uid="{DD4CF763-BC22-42DB-AB95-6F87E01ED663}">
  <cacheSource type="worksheet">
    <worksheetSource ref="C16:H376" sheet="SKP" r:id="rId2"/>
  </cacheSource>
  <cacheFields count="6">
    <cacheField name="majandussektorid" numFmtId="0">
      <sharedItems count="3">
        <s v="Põllumajandus, metsamajandus ja kalapüük"/>
        <s v="Tööstus ja ehitus*"/>
        <s v="Teenused*"/>
      </sharedItems>
    </cacheField>
    <cacheField name="Väärtus jooksevhindades, miljonit eurot" numFmtId="2">
      <sharedItems containsSemiMixedTypes="0" containsString="0" containsNumber="1" minValue="5.04" maxValue="12710.72"/>
    </cacheField>
    <cacheField name="maakond" numFmtId="0">
      <sharedItems count="15">
        <s v="Harju maakond"/>
        <s v="Hiiu maakond"/>
        <s v="Ida-Viru maakond"/>
        <s v="Jõgeva maakond"/>
        <s v="Järva maakond"/>
        <s v="Lääne maakond"/>
        <s v="Lääne-Viru maakond"/>
        <s v="Põlva maakond"/>
        <s v="Pärnu maakond"/>
        <s v="Rapla maakond"/>
        <s v="Saare maakond"/>
        <s v="Tartu maakond"/>
        <s v="Valga maakond"/>
        <s v="Viljandi maakond"/>
        <s v="Võru maakond"/>
      </sharedItems>
    </cacheField>
    <cacheField name="aasta" numFmtId="0">
      <sharedItems containsSemiMixedTypes="0" containsString="0" containsNumber="1" containsInteger="1" minValue="2012" maxValue="2019" count="8">
        <n v="2012"/>
        <n v="2013"/>
        <n v="2014"/>
        <n v="2015"/>
        <n v="2016"/>
        <n v="2017"/>
        <n v="2018"/>
        <n v="2019"/>
      </sharedItems>
    </cacheField>
    <cacheField name="maakondade rahvaarvud" numFmtId="0">
      <sharedItems containsSemiMixedTypes="0" containsString="0" containsNumber="1" containsInteger="1" minValue="8582" maxValue="598059"/>
    </cacheField>
    <cacheField name="majandusnäitajad el. kohta" numFmtId="0">
      <sharedItems containsSemiMixedTypes="0" containsString="0" containsNumber="1" minValue="72.010000000000005" maxValue="21253.29" count="360">
        <n v="174.37"/>
        <n v="4035.02"/>
        <n v="13335.09"/>
        <n v="1006.96"/>
        <n v="2453.6"/>
        <n v="3237.82"/>
        <n v="119.9"/>
        <n v="4234.17"/>
        <n v="3096.16"/>
        <n v="1503.11"/>
        <n v="1642.32"/>
        <n v="2353.0500000000002"/>
        <n v="1195.04"/>
        <n v="3180.04"/>
        <n v="3273.62"/>
        <n v="700.25"/>
        <n v="2475.14"/>
        <n v="3690.87"/>
        <n v="980.97"/>
        <n v="3443.76"/>
        <n v="3596.66"/>
        <n v="1071.1500000000001"/>
        <n v="1718.05"/>
        <n v="2350.67"/>
        <n v="693.7"/>
        <n v="2737.83"/>
        <n v="4578.1400000000003"/>
        <n v="741.35"/>
        <n v="1853.08"/>
        <n v="2725.4"/>
        <n v="549.08000000000004"/>
        <n v="3408.2"/>
        <n v="4601.2299999999996"/>
        <n v="448.79"/>
        <n v="2680.95"/>
        <n v="6992.16"/>
        <n v="801.15"/>
        <n v="2110.85"/>
        <n v="2528.3200000000002"/>
        <n v="1186.94"/>
        <n v="2734.14"/>
        <n v="3316.19"/>
        <n v="632.86"/>
        <n v="2374.04"/>
        <n v="3257.07"/>
        <n v="134.57"/>
        <n v="4176.03"/>
        <n v="14304.53"/>
        <n v="1146.0999999999999"/>
        <n v="2469.3200000000002"/>
        <n v="3212.55"/>
        <n v="97.82"/>
        <n v="5274.67"/>
        <n v="2969.08"/>
        <n v="1458.51"/>
        <n v="1981.19"/>
        <n v="2385.16"/>
        <n v="1181.7"/>
        <n v="3002.62"/>
        <n v="3274.03"/>
        <n v="605.96"/>
        <n v="2404.7600000000002"/>
        <n v="3839.25"/>
        <n v="969.3"/>
        <n v="3344.13"/>
        <n v="3224.33"/>
        <n v="776.53"/>
        <n v="1676.01"/>
        <n v="2927.45"/>
        <n v="727.32"/>
        <n v="2893.63"/>
        <n v="4589.1899999999996"/>
        <n v="729.99"/>
        <n v="2031.71"/>
        <n v="3559.84"/>
        <n v="557.28"/>
        <n v="3135.31"/>
        <n v="4950.18"/>
        <n v="482.43"/>
        <n v="2820.64"/>
        <n v="7252.65"/>
        <n v="959.46"/>
        <n v="2272.31"/>
        <n v="2718.54"/>
        <n v="1353.71"/>
        <n v="2773.7"/>
        <n v="3990.69"/>
        <n v="959.62"/>
        <n v="2597.41"/>
        <n v="3251.94"/>
        <n v="137.82"/>
        <n v="4411.0200000000004"/>
        <n v="15264.44"/>
        <n v="906.97"/>
        <n v="2472.9299999999998"/>
        <n v="3143.56"/>
        <n v="92.52"/>
        <n v="5067.2700000000004"/>
        <n v="3128.52"/>
        <n v="1569.75"/>
        <n v="1899.5"/>
        <n v="2294.4299999999998"/>
        <n v="1203.94"/>
        <n v="2991.29"/>
        <n v="3430.4"/>
        <n v="619.99"/>
        <n v="2176.54"/>
        <n v="3890.15"/>
        <n v="1057.01"/>
        <n v="3774.9"/>
        <n v="3165.16"/>
        <n v="928.69"/>
        <n v="1573.75"/>
        <n v="2967.69"/>
        <n v="797.55"/>
        <n v="2895.48"/>
        <n v="4793.7299999999996"/>
        <n v="1114.32"/>
        <n v="2026.76"/>
        <n v="3610.85"/>
        <n v="535.65"/>
        <n v="3238.13"/>
        <n v="5069.59"/>
        <n v="502.21"/>
        <n v="3097.55"/>
        <n v="7755.01"/>
        <n v="1100.21"/>
        <n v="2381.0300000000002"/>
        <n v="2888.06"/>
        <n v="1684.85"/>
        <n v="3080.5"/>
        <n v="3941.15"/>
        <n v="997.13"/>
        <n v="2699.69"/>
        <n v="3203.79"/>
        <n v="96.51"/>
        <n v="4432.41"/>
        <n v="15793.44"/>
        <n v="1014.91"/>
        <n v="2853.65"/>
        <n v="3489.86"/>
        <n v="93.23"/>
        <n v="4188.03"/>
        <n v="3249.73"/>
        <n v="1392.95"/>
        <n v="1993.45"/>
        <n v="2624.43"/>
        <n v="1110.6300000000001"/>
        <n v="2977.52"/>
        <n v="3467.4"/>
        <n v="647.28"/>
        <n v="2081.4299999999998"/>
        <n v="3852.1"/>
        <n v="970.88"/>
        <n v="3684.01"/>
        <n v="3436.71"/>
        <n v="878.71"/>
        <n v="1605.44"/>
        <n v="3293.61"/>
        <n v="788.96"/>
        <n v="3253.47"/>
        <n v="5217.91"/>
        <n v="1018.7"/>
        <n v="2317.63"/>
        <n v="3849.17"/>
        <n v="505.58"/>
        <n v="3240.08"/>
        <n v="5655.4"/>
        <n v="494.13"/>
        <n v="3255.38"/>
        <n v="8128.58"/>
        <n v="1084.02"/>
        <n v="2426.1999999999998"/>
        <n v="3109.8"/>
        <n v="1593.7"/>
        <n v="3273.35"/>
        <n v="3984.68"/>
        <n v="1205.23"/>
        <n v="2919.03"/>
        <n v="3149.04"/>
        <n v="91.49"/>
        <n v="4801.33"/>
        <n v="16482.59"/>
        <n v="882.54"/>
        <n v="3208.17"/>
        <n v="3506.63"/>
        <n v="72.010000000000005"/>
        <n v="3936.63"/>
        <n v="3279.59"/>
        <n v="943.83"/>
        <n v="2223.7800000000002"/>
        <n v="2503.35"/>
        <n v="681.23"/>
        <n v="3500.93"/>
        <n v="3558.89"/>
        <n v="483.32"/>
        <n v="2279.09"/>
        <n v="3632.22"/>
        <n v="679.37"/>
        <n v="3988.94"/>
        <n v="3521.95"/>
        <n v="506.06"/>
        <n v="1368.63"/>
        <n v="3252.18"/>
        <n v="681.35"/>
        <n v="3486.15"/>
        <n v="5566.35"/>
        <n v="823.47"/>
        <n v="2403.65"/>
        <n v="4026.88"/>
        <n v="341.99"/>
        <n v="3274.69"/>
        <n v="7466.32"/>
        <n v="429.23"/>
        <n v="3642.82"/>
        <n v="9359.32"/>
        <n v="905.52"/>
        <n v="2799.44"/>
        <n v="4242.5600000000004"/>
        <n v="1262.83"/>
        <n v="3272.94"/>
        <n v="4078.32"/>
        <n v="726.75"/>
        <n v="2824.6"/>
        <n v="3495.72"/>
        <n v="78.84"/>
        <n v="5013.41"/>
        <n v="18055.240000000002"/>
        <n v="539.9"/>
        <n v="2789.5"/>
        <n v="5152.6499999999996"/>
        <n v="112.73"/>
        <n v="4742.84"/>
        <n v="3426.4"/>
        <n v="1346.3"/>
        <n v="2517.19"/>
        <n v="3292.48"/>
        <n v="1202.51"/>
        <n v="3755.02"/>
        <n v="3946.61"/>
        <n v="598.33000000000004"/>
        <n v="2483.85"/>
        <n v="3948.4"/>
        <n v="846.64"/>
        <n v="4502.34"/>
        <n v="3913.96"/>
        <n v="866.86"/>
        <n v="1627.87"/>
        <n v="3542.54"/>
        <n v="793.72"/>
        <n v="3691.77"/>
        <n v="5831.34"/>
        <n v="842.31"/>
        <n v="2881.62"/>
        <n v="4539.83"/>
        <n v="461.76"/>
        <n v="3516.38"/>
        <n v="6402.26"/>
        <n v="517.28"/>
        <n v="3905.26"/>
        <n v="10273.17"/>
        <n v="955.99"/>
        <n v="2847.36"/>
        <n v="3395.49"/>
        <n v="1882.51"/>
        <n v="3463.04"/>
        <n v="4621.26"/>
        <n v="894.19"/>
        <n v="3127"/>
        <n v="3833.16"/>
        <n v="113.99"/>
        <n v="5243.03"/>
        <n v="19486.02"/>
        <n v="692.45"/>
        <n v="3482.48"/>
        <n v="5608.82"/>
        <n v="93.66"/>
        <n v="6205.29"/>
        <n v="3867.47"/>
        <n v="958.82"/>
        <n v="2349.33"/>
        <n v="3955.49"/>
        <n v="897.88"/>
        <n v="4071.62"/>
        <n v="4594.4399999999996"/>
        <n v="584.13"/>
        <n v="2650.88"/>
        <n v="5118.67"/>
        <n v="595.57000000000005"/>
        <n v="4681.47"/>
        <n v="4043.42"/>
        <n v="691.97"/>
        <n v="1612.1"/>
        <n v="3975.09"/>
        <n v="687.65"/>
        <n v="3720.56"/>
        <n v="6584.96"/>
        <n v="689.51"/>
        <n v="3579.69"/>
        <n v="5388.75"/>
        <n v="420.39"/>
        <n v="3613.19"/>
        <n v="7297.7"/>
        <n v="405.04"/>
        <n v="4214.87"/>
        <n v="10974.25"/>
        <n v="874.46"/>
        <n v="3260.66"/>
        <n v="3855.38"/>
        <n v="1613.87"/>
        <n v="3899.79"/>
        <n v="5416.4"/>
        <n v="785.43"/>
        <n v="3205.1"/>
        <n v="4002.44"/>
        <n v="137.36000000000001"/>
        <n v="5206.2299999999996"/>
        <n v="21253.29"/>
        <n v="748.91"/>
        <n v="3558.11"/>
        <n v="6098.86"/>
        <n v="127.2"/>
        <n v="6074.87"/>
        <n v="4242.95"/>
        <n v="1521.54"/>
        <n v="2460.15"/>
        <n v="4348.51"/>
        <n v="1382.82"/>
        <n v="4322.79"/>
        <n v="5090.47"/>
        <n v="752.43"/>
        <n v="2725.41"/>
        <n v="5584.43"/>
        <n v="1078.1300000000001"/>
        <n v="4886.8100000000004"/>
        <n v="4385.67"/>
        <n v="1029.75"/>
        <n v="1705.59"/>
        <n v="4368.1499999999996"/>
        <n v="1007.12"/>
        <n v="3737.93"/>
        <n v="7086.16"/>
        <n v="1054.31"/>
        <n v="3751.31"/>
        <n v="5838.01"/>
        <n v="643.65"/>
        <n v="3787.3"/>
        <n v="7845.84"/>
        <n v="575.12"/>
        <n v="4243.51"/>
        <n v="12031.48"/>
        <n v="1184.3499999999999"/>
        <n v="3493.83"/>
        <n v="4176.24"/>
        <n v="2182.4"/>
        <n v="4066.12"/>
        <n v="5974.85"/>
        <n v="1057.51"/>
        <n v="3420.16"/>
        <n v="4353.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x v="0"/>
    <x v="0"/>
    <n v="566741"/>
    <x v="0"/>
  </r>
  <r>
    <x v="1"/>
    <x v="1"/>
    <x v="0"/>
    <x v="0"/>
    <n v="566741"/>
    <x v="1"/>
  </r>
  <r>
    <x v="2"/>
    <x v="2"/>
    <x v="0"/>
    <x v="0"/>
    <n v="566741"/>
    <x v="2"/>
  </r>
  <r>
    <x v="0"/>
    <x v="3"/>
    <x v="1"/>
    <x v="0"/>
    <n v="8620"/>
    <x v="3"/>
  </r>
  <r>
    <x v="1"/>
    <x v="4"/>
    <x v="1"/>
    <x v="0"/>
    <n v="8620"/>
    <x v="4"/>
  </r>
  <r>
    <x v="2"/>
    <x v="5"/>
    <x v="1"/>
    <x v="0"/>
    <n v="8620"/>
    <x v="5"/>
  </r>
  <r>
    <x v="0"/>
    <x v="6"/>
    <x v="2"/>
    <x v="0"/>
    <n v="153716"/>
    <x v="6"/>
  </r>
  <r>
    <x v="1"/>
    <x v="7"/>
    <x v="2"/>
    <x v="0"/>
    <n v="153716"/>
    <x v="7"/>
  </r>
  <r>
    <x v="2"/>
    <x v="8"/>
    <x v="2"/>
    <x v="0"/>
    <n v="153716"/>
    <x v="8"/>
  </r>
  <r>
    <x v="0"/>
    <x v="9"/>
    <x v="3"/>
    <x v="0"/>
    <n v="31967"/>
    <x v="9"/>
  </r>
  <r>
    <x v="1"/>
    <x v="10"/>
    <x v="3"/>
    <x v="0"/>
    <n v="31967"/>
    <x v="10"/>
  </r>
  <r>
    <x v="2"/>
    <x v="11"/>
    <x v="3"/>
    <x v="0"/>
    <n v="31967"/>
    <x v="11"/>
  </r>
  <r>
    <x v="0"/>
    <x v="12"/>
    <x v="4"/>
    <x v="0"/>
    <n v="31204"/>
    <x v="12"/>
  </r>
  <r>
    <x v="1"/>
    <x v="13"/>
    <x v="4"/>
    <x v="0"/>
    <n v="31204"/>
    <x v="13"/>
  </r>
  <r>
    <x v="2"/>
    <x v="14"/>
    <x v="4"/>
    <x v="0"/>
    <n v="31204"/>
    <x v="14"/>
  </r>
  <r>
    <x v="0"/>
    <x v="15"/>
    <x v="5"/>
    <x v="0"/>
    <n v="24734"/>
    <x v="15"/>
  </r>
  <r>
    <x v="1"/>
    <x v="16"/>
    <x v="5"/>
    <x v="0"/>
    <n v="24734"/>
    <x v="16"/>
  </r>
  <r>
    <x v="2"/>
    <x v="17"/>
    <x v="5"/>
    <x v="0"/>
    <n v="24734"/>
    <x v="17"/>
  </r>
  <r>
    <x v="0"/>
    <x v="18"/>
    <x v="6"/>
    <x v="0"/>
    <n v="61154"/>
    <x v="18"/>
  </r>
  <r>
    <x v="1"/>
    <x v="19"/>
    <x v="6"/>
    <x v="0"/>
    <n v="61154"/>
    <x v="19"/>
  </r>
  <r>
    <x v="2"/>
    <x v="20"/>
    <x v="6"/>
    <x v="0"/>
    <n v="61154"/>
    <x v="20"/>
  </r>
  <r>
    <x v="0"/>
    <x v="21"/>
    <x v="7"/>
    <x v="0"/>
    <n v="28026"/>
    <x v="21"/>
  </r>
  <r>
    <x v="1"/>
    <x v="22"/>
    <x v="7"/>
    <x v="0"/>
    <n v="28026"/>
    <x v="22"/>
  </r>
  <r>
    <x v="2"/>
    <x v="23"/>
    <x v="7"/>
    <x v="0"/>
    <n v="28026"/>
    <x v="23"/>
  </r>
  <r>
    <x v="0"/>
    <x v="24"/>
    <x v="8"/>
    <x v="0"/>
    <n v="84388"/>
    <x v="24"/>
  </r>
  <r>
    <x v="1"/>
    <x v="25"/>
    <x v="8"/>
    <x v="0"/>
    <n v="84388"/>
    <x v="25"/>
  </r>
  <r>
    <x v="2"/>
    <x v="26"/>
    <x v="8"/>
    <x v="0"/>
    <n v="84388"/>
    <x v="26"/>
  </r>
  <r>
    <x v="0"/>
    <x v="27"/>
    <x v="9"/>
    <x v="0"/>
    <n v="35503"/>
    <x v="27"/>
  </r>
  <r>
    <x v="1"/>
    <x v="28"/>
    <x v="9"/>
    <x v="0"/>
    <n v="35503"/>
    <x v="28"/>
  </r>
  <r>
    <x v="2"/>
    <x v="29"/>
    <x v="9"/>
    <x v="0"/>
    <n v="35503"/>
    <x v="29"/>
  </r>
  <r>
    <x v="0"/>
    <x v="30"/>
    <x v="10"/>
    <x v="0"/>
    <n v="31835"/>
    <x v="30"/>
  </r>
  <r>
    <x v="1"/>
    <x v="31"/>
    <x v="10"/>
    <x v="0"/>
    <n v="31835"/>
    <x v="31"/>
  </r>
  <r>
    <x v="2"/>
    <x v="32"/>
    <x v="10"/>
    <x v="0"/>
    <n v="31835"/>
    <x v="32"/>
  </r>
  <r>
    <x v="0"/>
    <x v="33"/>
    <x v="11"/>
    <x v="0"/>
    <n v="153479"/>
    <x v="33"/>
  </r>
  <r>
    <x v="1"/>
    <x v="34"/>
    <x v="11"/>
    <x v="0"/>
    <n v="153479"/>
    <x v="34"/>
  </r>
  <r>
    <x v="2"/>
    <x v="35"/>
    <x v="11"/>
    <x v="0"/>
    <n v="153479"/>
    <x v="35"/>
  </r>
  <r>
    <x v="0"/>
    <x v="36"/>
    <x v="12"/>
    <x v="0"/>
    <n v="31068"/>
    <x v="36"/>
  </r>
  <r>
    <x v="1"/>
    <x v="37"/>
    <x v="12"/>
    <x v="0"/>
    <n v="31068"/>
    <x v="37"/>
  </r>
  <r>
    <x v="2"/>
    <x v="38"/>
    <x v="12"/>
    <x v="0"/>
    <n v="31068"/>
    <x v="38"/>
  </r>
  <r>
    <x v="0"/>
    <x v="39"/>
    <x v="13"/>
    <x v="0"/>
    <n v="48604"/>
    <x v="39"/>
  </r>
  <r>
    <x v="1"/>
    <x v="40"/>
    <x v="13"/>
    <x v="0"/>
    <n v="48604"/>
    <x v="40"/>
  </r>
  <r>
    <x v="2"/>
    <x v="41"/>
    <x v="13"/>
    <x v="0"/>
    <n v="48604"/>
    <x v="41"/>
  </r>
  <r>
    <x v="0"/>
    <x v="42"/>
    <x v="14"/>
    <x v="0"/>
    <n v="34178"/>
    <x v="42"/>
  </r>
  <r>
    <x v="1"/>
    <x v="43"/>
    <x v="14"/>
    <x v="0"/>
    <n v="34178"/>
    <x v="43"/>
  </r>
  <r>
    <x v="2"/>
    <x v="44"/>
    <x v="14"/>
    <x v="0"/>
    <n v="34178"/>
    <x v="44"/>
  </r>
  <r>
    <x v="0"/>
    <x v="45"/>
    <x v="0"/>
    <x v="1"/>
    <n v="567967"/>
    <x v="45"/>
  </r>
  <r>
    <x v="1"/>
    <x v="46"/>
    <x v="0"/>
    <x v="1"/>
    <n v="567967"/>
    <x v="46"/>
  </r>
  <r>
    <x v="2"/>
    <x v="47"/>
    <x v="0"/>
    <x v="1"/>
    <n v="567967"/>
    <x v="47"/>
  </r>
  <r>
    <x v="0"/>
    <x v="48"/>
    <x v="1"/>
    <x v="1"/>
    <n v="8638"/>
    <x v="48"/>
  </r>
  <r>
    <x v="1"/>
    <x v="49"/>
    <x v="1"/>
    <x v="1"/>
    <n v="8638"/>
    <x v="49"/>
  </r>
  <r>
    <x v="2"/>
    <x v="50"/>
    <x v="1"/>
    <x v="1"/>
    <n v="8638"/>
    <x v="50"/>
  </r>
  <r>
    <x v="0"/>
    <x v="51"/>
    <x v="2"/>
    <x v="1"/>
    <n v="151909"/>
    <x v="51"/>
  </r>
  <r>
    <x v="1"/>
    <x v="52"/>
    <x v="2"/>
    <x v="1"/>
    <n v="151909"/>
    <x v="52"/>
  </r>
  <r>
    <x v="2"/>
    <x v="53"/>
    <x v="2"/>
    <x v="1"/>
    <n v="151909"/>
    <x v="53"/>
  </r>
  <r>
    <x v="0"/>
    <x v="54"/>
    <x v="3"/>
    <x v="1"/>
    <n v="31587"/>
    <x v="54"/>
  </r>
  <r>
    <x v="1"/>
    <x v="55"/>
    <x v="3"/>
    <x v="1"/>
    <n v="31587"/>
    <x v="55"/>
  </r>
  <r>
    <x v="2"/>
    <x v="56"/>
    <x v="3"/>
    <x v="1"/>
    <n v="31587"/>
    <x v="56"/>
  </r>
  <r>
    <x v="0"/>
    <x v="57"/>
    <x v="4"/>
    <x v="1"/>
    <n v="30913"/>
    <x v="57"/>
  </r>
  <r>
    <x v="1"/>
    <x v="58"/>
    <x v="4"/>
    <x v="1"/>
    <n v="30913"/>
    <x v="58"/>
  </r>
  <r>
    <x v="2"/>
    <x v="59"/>
    <x v="4"/>
    <x v="1"/>
    <n v="30913"/>
    <x v="59"/>
  </r>
  <r>
    <x v="0"/>
    <x v="60"/>
    <x v="5"/>
    <x v="1"/>
    <n v="24622"/>
    <x v="60"/>
  </r>
  <r>
    <x v="1"/>
    <x v="61"/>
    <x v="5"/>
    <x v="1"/>
    <n v="24622"/>
    <x v="61"/>
  </r>
  <r>
    <x v="2"/>
    <x v="62"/>
    <x v="5"/>
    <x v="1"/>
    <n v="24622"/>
    <x v="62"/>
  </r>
  <r>
    <x v="0"/>
    <x v="63"/>
    <x v="6"/>
    <x v="1"/>
    <n v="60518"/>
    <x v="63"/>
  </r>
  <r>
    <x v="1"/>
    <x v="64"/>
    <x v="6"/>
    <x v="1"/>
    <n v="60518"/>
    <x v="64"/>
  </r>
  <r>
    <x v="2"/>
    <x v="65"/>
    <x v="6"/>
    <x v="1"/>
    <n v="60518"/>
    <x v="65"/>
  </r>
  <r>
    <x v="0"/>
    <x v="66"/>
    <x v="7"/>
    <x v="1"/>
    <n v="27816"/>
    <x v="66"/>
  </r>
  <r>
    <x v="1"/>
    <x v="67"/>
    <x v="7"/>
    <x v="1"/>
    <n v="27816"/>
    <x v="67"/>
  </r>
  <r>
    <x v="2"/>
    <x v="68"/>
    <x v="7"/>
    <x v="1"/>
    <n v="27816"/>
    <x v="68"/>
  </r>
  <r>
    <x v="0"/>
    <x v="69"/>
    <x v="8"/>
    <x v="1"/>
    <n v="83677"/>
    <x v="69"/>
  </r>
  <r>
    <x v="1"/>
    <x v="70"/>
    <x v="8"/>
    <x v="1"/>
    <n v="83677"/>
    <x v="70"/>
  </r>
  <r>
    <x v="2"/>
    <x v="71"/>
    <x v="8"/>
    <x v="1"/>
    <n v="83677"/>
    <x v="71"/>
  </r>
  <r>
    <x v="0"/>
    <x v="72"/>
    <x v="9"/>
    <x v="1"/>
    <n v="35069"/>
    <x v="72"/>
  </r>
  <r>
    <x v="1"/>
    <x v="73"/>
    <x v="9"/>
    <x v="1"/>
    <n v="35069"/>
    <x v="73"/>
  </r>
  <r>
    <x v="2"/>
    <x v="74"/>
    <x v="9"/>
    <x v="1"/>
    <n v="35069"/>
    <x v="74"/>
  </r>
  <r>
    <x v="0"/>
    <x v="75"/>
    <x v="10"/>
    <x v="1"/>
    <n v="31815"/>
    <x v="75"/>
  </r>
  <r>
    <x v="1"/>
    <x v="76"/>
    <x v="10"/>
    <x v="1"/>
    <n v="31815"/>
    <x v="76"/>
  </r>
  <r>
    <x v="2"/>
    <x v="77"/>
    <x v="10"/>
    <x v="1"/>
    <n v="31815"/>
    <x v="77"/>
  </r>
  <r>
    <x v="0"/>
    <x v="78"/>
    <x v="11"/>
    <x v="1"/>
    <n v="153100"/>
    <x v="78"/>
  </r>
  <r>
    <x v="1"/>
    <x v="79"/>
    <x v="11"/>
    <x v="1"/>
    <n v="153100"/>
    <x v="79"/>
  </r>
  <r>
    <x v="2"/>
    <x v="80"/>
    <x v="11"/>
    <x v="1"/>
    <n v="153100"/>
    <x v="80"/>
  </r>
  <r>
    <x v="0"/>
    <x v="81"/>
    <x v="12"/>
    <x v="1"/>
    <n v="30590"/>
    <x v="81"/>
  </r>
  <r>
    <x v="1"/>
    <x v="82"/>
    <x v="12"/>
    <x v="1"/>
    <n v="30590"/>
    <x v="82"/>
  </r>
  <r>
    <x v="2"/>
    <x v="83"/>
    <x v="12"/>
    <x v="1"/>
    <n v="30590"/>
    <x v="83"/>
  </r>
  <r>
    <x v="0"/>
    <x v="84"/>
    <x v="13"/>
    <x v="1"/>
    <n v="48127"/>
    <x v="84"/>
  </r>
  <r>
    <x v="1"/>
    <x v="85"/>
    <x v="13"/>
    <x v="1"/>
    <n v="48127"/>
    <x v="85"/>
  </r>
  <r>
    <x v="2"/>
    <x v="86"/>
    <x v="13"/>
    <x v="1"/>
    <n v="48127"/>
    <x v="86"/>
  </r>
  <r>
    <x v="0"/>
    <x v="87"/>
    <x v="14"/>
    <x v="1"/>
    <n v="33826"/>
    <x v="87"/>
  </r>
  <r>
    <x v="1"/>
    <x v="88"/>
    <x v="14"/>
    <x v="1"/>
    <n v="33826"/>
    <x v="88"/>
  </r>
  <r>
    <x v="2"/>
    <x v="89"/>
    <x v="14"/>
    <x v="1"/>
    <n v="33826"/>
    <x v="89"/>
  </r>
  <r>
    <x v="0"/>
    <x v="90"/>
    <x v="0"/>
    <x v="2"/>
    <n v="572103"/>
    <x v="90"/>
  </r>
  <r>
    <x v="1"/>
    <x v="91"/>
    <x v="0"/>
    <x v="2"/>
    <n v="572103"/>
    <x v="91"/>
  </r>
  <r>
    <x v="2"/>
    <x v="92"/>
    <x v="0"/>
    <x v="2"/>
    <n v="572103"/>
    <x v="92"/>
  </r>
  <r>
    <x v="0"/>
    <x v="93"/>
    <x v="1"/>
    <x v="2"/>
    <n v="8589"/>
    <x v="93"/>
  </r>
  <r>
    <x v="1"/>
    <x v="94"/>
    <x v="1"/>
    <x v="2"/>
    <n v="8589"/>
    <x v="94"/>
  </r>
  <r>
    <x v="2"/>
    <x v="95"/>
    <x v="1"/>
    <x v="2"/>
    <n v="8589"/>
    <x v="95"/>
  </r>
  <r>
    <x v="0"/>
    <x v="96"/>
    <x v="2"/>
    <x v="2"/>
    <n v="149483"/>
    <x v="96"/>
  </r>
  <r>
    <x v="1"/>
    <x v="97"/>
    <x v="2"/>
    <x v="2"/>
    <n v="149483"/>
    <x v="97"/>
  </r>
  <r>
    <x v="2"/>
    <x v="98"/>
    <x v="2"/>
    <x v="2"/>
    <n v="149483"/>
    <x v="98"/>
  </r>
  <r>
    <x v="0"/>
    <x v="99"/>
    <x v="3"/>
    <x v="2"/>
    <n v="31145"/>
    <x v="99"/>
  </r>
  <r>
    <x v="1"/>
    <x v="100"/>
    <x v="3"/>
    <x v="2"/>
    <n v="31145"/>
    <x v="100"/>
  </r>
  <r>
    <x v="2"/>
    <x v="101"/>
    <x v="3"/>
    <x v="2"/>
    <n v="31145"/>
    <x v="101"/>
  </r>
  <r>
    <x v="0"/>
    <x v="102"/>
    <x v="4"/>
    <x v="2"/>
    <n v="30425"/>
    <x v="102"/>
  </r>
  <r>
    <x v="1"/>
    <x v="103"/>
    <x v="4"/>
    <x v="2"/>
    <n v="30425"/>
    <x v="103"/>
  </r>
  <r>
    <x v="2"/>
    <x v="104"/>
    <x v="4"/>
    <x v="2"/>
    <n v="30425"/>
    <x v="104"/>
  </r>
  <r>
    <x v="0"/>
    <x v="105"/>
    <x v="5"/>
    <x v="2"/>
    <n v="24323"/>
    <x v="105"/>
  </r>
  <r>
    <x v="1"/>
    <x v="106"/>
    <x v="5"/>
    <x v="2"/>
    <n v="24323"/>
    <x v="106"/>
  </r>
  <r>
    <x v="2"/>
    <x v="107"/>
    <x v="5"/>
    <x v="2"/>
    <n v="24323"/>
    <x v="107"/>
  </r>
  <r>
    <x v="0"/>
    <x v="108"/>
    <x v="6"/>
    <x v="2"/>
    <n v="59583"/>
    <x v="108"/>
  </r>
  <r>
    <x v="1"/>
    <x v="109"/>
    <x v="6"/>
    <x v="2"/>
    <n v="59583"/>
    <x v="109"/>
  </r>
  <r>
    <x v="2"/>
    <x v="110"/>
    <x v="6"/>
    <x v="2"/>
    <n v="59583"/>
    <x v="110"/>
  </r>
  <r>
    <x v="0"/>
    <x v="111"/>
    <x v="7"/>
    <x v="2"/>
    <n v="27641"/>
    <x v="111"/>
  </r>
  <r>
    <x v="1"/>
    <x v="112"/>
    <x v="7"/>
    <x v="2"/>
    <n v="27641"/>
    <x v="112"/>
  </r>
  <r>
    <x v="2"/>
    <x v="113"/>
    <x v="7"/>
    <x v="2"/>
    <n v="27641"/>
    <x v="113"/>
  </r>
  <r>
    <x v="0"/>
    <x v="114"/>
    <x v="8"/>
    <x v="2"/>
    <n v="82829"/>
    <x v="114"/>
  </r>
  <r>
    <x v="1"/>
    <x v="115"/>
    <x v="8"/>
    <x v="2"/>
    <n v="82829"/>
    <x v="115"/>
  </r>
  <r>
    <x v="2"/>
    <x v="116"/>
    <x v="8"/>
    <x v="2"/>
    <n v="82829"/>
    <x v="116"/>
  </r>
  <r>
    <x v="0"/>
    <x v="117"/>
    <x v="9"/>
    <x v="2"/>
    <n v="34676"/>
    <x v="117"/>
  </r>
  <r>
    <x v="1"/>
    <x v="118"/>
    <x v="9"/>
    <x v="2"/>
    <n v="34676"/>
    <x v="118"/>
  </r>
  <r>
    <x v="2"/>
    <x v="119"/>
    <x v="9"/>
    <x v="2"/>
    <n v="34676"/>
    <x v="119"/>
  </r>
  <r>
    <x v="0"/>
    <x v="120"/>
    <x v="10"/>
    <x v="2"/>
    <n v="31756"/>
    <x v="120"/>
  </r>
  <r>
    <x v="1"/>
    <x v="121"/>
    <x v="10"/>
    <x v="2"/>
    <n v="31756"/>
    <x v="121"/>
  </r>
  <r>
    <x v="2"/>
    <x v="122"/>
    <x v="10"/>
    <x v="2"/>
    <n v="31756"/>
    <x v="122"/>
  </r>
  <r>
    <x v="0"/>
    <x v="45"/>
    <x v="11"/>
    <x v="2"/>
    <n v="152188"/>
    <x v="123"/>
  </r>
  <r>
    <x v="1"/>
    <x v="123"/>
    <x v="11"/>
    <x v="2"/>
    <n v="152188"/>
    <x v="124"/>
  </r>
  <r>
    <x v="2"/>
    <x v="124"/>
    <x v="11"/>
    <x v="2"/>
    <n v="152188"/>
    <x v="125"/>
  </r>
  <r>
    <x v="0"/>
    <x v="125"/>
    <x v="12"/>
    <x v="2"/>
    <n v="30176"/>
    <x v="126"/>
  </r>
  <r>
    <x v="1"/>
    <x v="126"/>
    <x v="12"/>
    <x v="2"/>
    <n v="30176"/>
    <x v="127"/>
  </r>
  <r>
    <x v="2"/>
    <x v="127"/>
    <x v="12"/>
    <x v="2"/>
    <n v="30176"/>
    <x v="128"/>
  </r>
  <r>
    <x v="0"/>
    <x v="128"/>
    <x v="13"/>
    <x v="2"/>
    <n v="47476"/>
    <x v="129"/>
  </r>
  <r>
    <x v="1"/>
    <x v="129"/>
    <x v="13"/>
    <x v="2"/>
    <n v="47476"/>
    <x v="130"/>
  </r>
  <r>
    <x v="2"/>
    <x v="130"/>
    <x v="13"/>
    <x v="2"/>
    <n v="47476"/>
    <x v="131"/>
  </r>
  <r>
    <x v="0"/>
    <x v="131"/>
    <x v="14"/>
    <x v="2"/>
    <n v="33426"/>
    <x v="132"/>
  </r>
  <r>
    <x v="1"/>
    <x v="132"/>
    <x v="14"/>
    <x v="2"/>
    <n v="33426"/>
    <x v="133"/>
  </r>
  <r>
    <x v="2"/>
    <x v="133"/>
    <x v="14"/>
    <x v="2"/>
    <n v="33426"/>
    <x v="134"/>
  </r>
  <r>
    <x v="0"/>
    <x v="134"/>
    <x v="0"/>
    <x v="3"/>
    <n v="575601"/>
    <x v="135"/>
  </r>
  <r>
    <x v="1"/>
    <x v="135"/>
    <x v="0"/>
    <x v="3"/>
    <n v="575601"/>
    <x v="136"/>
  </r>
  <r>
    <x v="2"/>
    <x v="136"/>
    <x v="0"/>
    <x v="3"/>
    <n v="575601"/>
    <x v="137"/>
  </r>
  <r>
    <x v="0"/>
    <x v="137"/>
    <x v="1"/>
    <x v="3"/>
    <n v="8582"/>
    <x v="138"/>
  </r>
  <r>
    <x v="1"/>
    <x v="138"/>
    <x v="1"/>
    <x v="3"/>
    <n v="8582"/>
    <x v="139"/>
  </r>
  <r>
    <x v="2"/>
    <x v="139"/>
    <x v="1"/>
    <x v="3"/>
    <n v="8582"/>
    <x v="140"/>
  </r>
  <r>
    <x v="0"/>
    <x v="140"/>
    <x v="2"/>
    <x v="3"/>
    <n v="147597"/>
    <x v="141"/>
  </r>
  <r>
    <x v="1"/>
    <x v="141"/>
    <x v="2"/>
    <x v="3"/>
    <n v="147597"/>
    <x v="142"/>
  </r>
  <r>
    <x v="2"/>
    <x v="142"/>
    <x v="2"/>
    <x v="3"/>
    <n v="147597"/>
    <x v="143"/>
  </r>
  <r>
    <x v="0"/>
    <x v="143"/>
    <x v="3"/>
    <x v="3"/>
    <n v="30841"/>
    <x v="144"/>
  </r>
  <r>
    <x v="1"/>
    <x v="144"/>
    <x v="3"/>
    <x v="3"/>
    <n v="30841"/>
    <x v="145"/>
  </r>
  <r>
    <x v="2"/>
    <x v="145"/>
    <x v="3"/>
    <x v="3"/>
    <n v="30841"/>
    <x v="146"/>
  </r>
  <r>
    <x v="0"/>
    <x v="146"/>
    <x v="4"/>
    <x v="3"/>
    <n v="30109"/>
    <x v="147"/>
  </r>
  <r>
    <x v="1"/>
    <x v="147"/>
    <x v="4"/>
    <x v="3"/>
    <n v="30109"/>
    <x v="148"/>
  </r>
  <r>
    <x v="2"/>
    <x v="148"/>
    <x v="4"/>
    <x v="3"/>
    <n v="30109"/>
    <x v="149"/>
  </r>
  <r>
    <x v="0"/>
    <x v="149"/>
    <x v="5"/>
    <x v="3"/>
    <n v="24070"/>
    <x v="150"/>
  </r>
  <r>
    <x v="1"/>
    <x v="150"/>
    <x v="5"/>
    <x v="3"/>
    <n v="24070"/>
    <x v="151"/>
  </r>
  <r>
    <x v="2"/>
    <x v="151"/>
    <x v="5"/>
    <x v="3"/>
    <n v="24070"/>
    <x v="152"/>
  </r>
  <r>
    <x v="0"/>
    <x v="152"/>
    <x v="6"/>
    <x v="3"/>
    <n v="59039"/>
    <x v="153"/>
  </r>
  <r>
    <x v="1"/>
    <x v="153"/>
    <x v="6"/>
    <x v="3"/>
    <n v="59039"/>
    <x v="154"/>
  </r>
  <r>
    <x v="2"/>
    <x v="154"/>
    <x v="6"/>
    <x v="3"/>
    <n v="59039"/>
    <x v="155"/>
  </r>
  <r>
    <x v="0"/>
    <x v="155"/>
    <x v="7"/>
    <x v="3"/>
    <n v="27438"/>
    <x v="156"/>
  </r>
  <r>
    <x v="1"/>
    <x v="156"/>
    <x v="7"/>
    <x v="3"/>
    <n v="27438"/>
    <x v="157"/>
  </r>
  <r>
    <x v="2"/>
    <x v="157"/>
    <x v="7"/>
    <x v="3"/>
    <n v="27438"/>
    <x v="158"/>
  </r>
  <r>
    <x v="0"/>
    <x v="158"/>
    <x v="8"/>
    <x v="3"/>
    <n v="82349"/>
    <x v="159"/>
  </r>
  <r>
    <x v="1"/>
    <x v="159"/>
    <x v="8"/>
    <x v="3"/>
    <n v="82349"/>
    <x v="160"/>
  </r>
  <r>
    <x v="2"/>
    <x v="160"/>
    <x v="8"/>
    <x v="3"/>
    <n v="82349"/>
    <x v="161"/>
  </r>
  <r>
    <x v="0"/>
    <x v="161"/>
    <x v="9"/>
    <x v="3"/>
    <n v="34436"/>
    <x v="162"/>
  </r>
  <r>
    <x v="1"/>
    <x v="162"/>
    <x v="9"/>
    <x v="3"/>
    <n v="34436"/>
    <x v="163"/>
  </r>
  <r>
    <x v="2"/>
    <x v="163"/>
    <x v="9"/>
    <x v="3"/>
    <n v="34436"/>
    <x v="164"/>
  </r>
  <r>
    <x v="0"/>
    <x v="164"/>
    <x v="10"/>
    <x v="3"/>
    <n v="31706"/>
    <x v="165"/>
  </r>
  <r>
    <x v="1"/>
    <x v="165"/>
    <x v="10"/>
    <x v="3"/>
    <n v="31706"/>
    <x v="166"/>
  </r>
  <r>
    <x v="2"/>
    <x v="166"/>
    <x v="10"/>
    <x v="3"/>
    <n v="31706"/>
    <x v="167"/>
  </r>
  <r>
    <x v="0"/>
    <x v="167"/>
    <x v="11"/>
    <x v="3"/>
    <n v="151377"/>
    <x v="168"/>
  </r>
  <r>
    <x v="1"/>
    <x v="168"/>
    <x v="11"/>
    <x v="3"/>
    <n v="151377"/>
    <x v="169"/>
  </r>
  <r>
    <x v="2"/>
    <x v="169"/>
    <x v="11"/>
    <x v="3"/>
    <n v="151377"/>
    <x v="170"/>
  </r>
  <r>
    <x v="0"/>
    <x v="87"/>
    <x v="12"/>
    <x v="3"/>
    <n v="29944"/>
    <x v="171"/>
  </r>
  <r>
    <x v="1"/>
    <x v="170"/>
    <x v="12"/>
    <x v="3"/>
    <n v="29944"/>
    <x v="172"/>
  </r>
  <r>
    <x v="2"/>
    <x v="171"/>
    <x v="12"/>
    <x v="3"/>
    <n v="29944"/>
    <x v="173"/>
  </r>
  <r>
    <x v="0"/>
    <x v="172"/>
    <x v="13"/>
    <x v="3"/>
    <n v="47010"/>
    <x v="174"/>
  </r>
  <r>
    <x v="1"/>
    <x v="173"/>
    <x v="13"/>
    <x v="3"/>
    <n v="47010"/>
    <x v="175"/>
  </r>
  <r>
    <x v="2"/>
    <x v="174"/>
    <x v="13"/>
    <x v="3"/>
    <n v="47010"/>
    <x v="176"/>
  </r>
  <r>
    <x v="0"/>
    <x v="175"/>
    <x v="14"/>
    <x v="3"/>
    <n v="33172"/>
    <x v="177"/>
  </r>
  <r>
    <x v="1"/>
    <x v="176"/>
    <x v="14"/>
    <x v="3"/>
    <n v="33172"/>
    <x v="178"/>
  </r>
  <r>
    <x v="2"/>
    <x v="177"/>
    <x v="14"/>
    <x v="3"/>
    <n v="33172"/>
    <x v="179"/>
  </r>
  <r>
    <x v="0"/>
    <x v="178"/>
    <x v="0"/>
    <x v="4"/>
    <n v="576265"/>
    <x v="180"/>
  </r>
  <r>
    <x v="1"/>
    <x v="179"/>
    <x v="0"/>
    <x v="4"/>
    <n v="576265"/>
    <x v="181"/>
  </r>
  <r>
    <x v="2"/>
    <x v="180"/>
    <x v="0"/>
    <x v="4"/>
    <n v="576265"/>
    <x v="182"/>
  </r>
  <r>
    <x v="0"/>
    <x v="181"/>
    <x v="1"/>
    <x v="4"/>
    <n v="9348"/>
    <x v="183"/>
  </r>
  <r>
    <x v="1"/>
    <x v="182"/>
    <x v="1"/>
    <x v="4"/>
    <n v="9348"/>
    <x v="184"/>
  </r>
  <r>
    <x v="2"/>
    <x v="183"/>
    <x v="1"/>
    <x v="4"/>
    <n v="9348"/>
    <x v="185"/>
  </r>
  <r>
    <x v="0"/>
    <x v="184"/>
    <x v="2"/>
    <x v="4"/>
    <n v="146506"/>
    <x v="186"/>
  </r>
  <r>
    <x v="1"/>
    <x v="185"/>
    <x v="2"/>
    <x v="4"/>
    <n v="146506"/>
    <x v="187"/>
  </r>
  <r>
    <x v="2"/>
    <x v="186"/>
    <x v="2"/>
    <x v="4"/>
    <n v="146506"/>
    <x v="188"/>
  </r>
  <r>
    <x v="0"/>
    <x v="187"/>
    <x v="3"/>
    <x v="4"/>
    <n v="31298"/>
    <x v="189"/>
  </r>
  <r>
    <x v="1"/>
    <x v="188"/>
    <x v="3"/>
    <x v="4"/>
    <n v="31298"/>
    <x v="190"/>
  </r>
  <r>
    <x v="2"/>
    <x v="189"/>
    <x v="3"/>
    <x v="4"/>
    <n v="31298"/>
    <x v="191"/>
  </r>
  <r>
    <x v="0"/>
    <x v="190"/>
    <x v="4"/>
    <x v="4"/>
    <n v="30709"/>
    <x v="192"/>
  </r>
  <r>
    <x v="1"/>
    <x v="191"/>
    <x v="4"/>
    <x v="4"/>
    <n v="30709"/>
    <x v="193"/>
  </r>
  <r>
    <x v="2"/>
    <x v="192"/>
    <x v="4"/>
    <x v="4"/>
    <n v="30709"/>
    <x v="194"/>
  </r>
  <r>
    <x v="0"/>
    <x v="193"/>
    <x v="5"/>
    <x v="4"/>
    <n v="24580"/>
    <x v="195"/>
  </r>
  <r>
    <x v="1"/>
    <x v="194"/>
    <x v="5"/>
    <x v="4"/>
    <n v="24580"/>
    <x v="196"/>
  </r>
  <r>
    <x v="2"/>
    <x v="195"/>
    <x v="5"/>
    <x v="4"/>
    <n v="24580"/>
    <x v="197"/>
  </r>
  <r>
    <x v="0"/>
    <x v="196"/>
    <x v="6"/>
    <x v="4"/>
    <n v="59467"/>
    <x v="198"/>
  </r>
  <r>
    <x v="1"/>
    <x v="197"/>
    <x v="6"/>
    <x v="4"/>
    <n v="59467"/>
    <x v="199"/>
  </r>
  <r>
    <x v="2"/>
    <x v="198"/>
    <x v="6"/>
    <x v="4"/>
    <n v="59467"/>
    <x v="200"/>
  </r>
  <r>
    <x v="0"/>
    <x v="199"/>
    <x v="7"/>
    <x v="4"/>
    <n v="28218"/>
    <x v="201"/>
  </r>
  <r>
    <x v="1"/>
    <x v="200"/>
    <x v="7"/>
    <x v="4"/>
    <n v="28218"/>
    <x v="202"/>
  </r>
  <r>
    <x v="2"/>
    <x v="201"/>
    <x v="7"/>
    <x v="4"/>
    <n v="28218"/>
    <x v="203"/>
  </r>
  <r>
    <x v="0"/>
    <x v="202"/>
    <x v="8"/>
    <x v="4"/>
    <n v="82997"/>
    <x v="204"/>
  </r>
  <r>
    <x v="1"/>
    <x v="203"/>
    <x v="8"/>
    <x v="4"/>
    <n v="82997"/>
    <x v="205"/>
  </r>
  <r>
    <x v="2"/>
    <x v="204"/>
    <x v="8"/>
    <x v="4"/>
    <n v="82997"/>
    <x v="206"/>
  </r>
  <r>
    <x v="0"/>
    <x v="205"/>
    <x v="9"/>
    <x v="4"/>
    <n v="34148"/>
    <x v="207"/>
  </r>
  <r>
    <x v="1"/>
    <x v="206"/>
    <x v="9"/>
    <x v="4"/>
    <n v="34148"/>
    <x v="208"/>
  </r>
  <r>
    <x v="2"/>
    <x v="207"/>
    <x v="9"/>
    <x v="4"/>
    <n v="34148"/>
    <x v="209"/>
  </r>
  <r>
    <x v="0"/>
    <x v="208"/>
    <x v="10"/>
    <x v="4"/>
    <n v="33481"/>
    <x v="210"/>
  </r>
  <r>
    <x v="1"/>
    <x v="209"/>
    <x v="10"/>
    <x v="4"/>
    <n v="33481"/>
    <x v="211"/>
  </r>
  <r>
    <x v="2"/>
    <x v="210"/>
    <x v="10"/>
    <x v="4"/>
    <n v="33481"/>
    <x v="212"/>
  </r>
  <r>
    <x v="0"/>
    <x v="211"/>
    <x v="11"/>
    <x v="4"/>
    <n v="145003"/>
    <x v="213"/>
  </r>
  <r>
    <x v="1"/>
    <x v="212"/>
    <x v="11"/>
    <x v="4"/>
    <n v="145003"/>
    <x v="214"/>
  </r>
  <r>
    <x v="2"/>
    <x v="213"/>
    <x v="11"/>
    <x v="4"/>
    <n v="145003"/>
    <x v="215"/>
  </r>
  <r>
    <x v="0"/>
    <x v="214"/>
    <x v="12"/>
    <x v="4"/>
    <n v="30524"/>
    <x v="216"/>
  </r>
  <r>
    <x v="1"/>
    <x v="215"/>
    <x v="12"/>
    <x v="4"/>
    <n v="30524"/>
    <x v="217"/>
  </r>
  <r>
    <x v="2"/>
    <x v="216"/>
    <x v="12"/>
    <x v="4"/>
    <n v="30524"/>
    <x v="218"/>
  </r>
  <r>
    <x v="0"/>
    <x v="217"/>
    <x v="13"/>
    <x v="4"/>
    <n v="47853"/>
    <x v="219"/>
  </r>
  <r>
    <x v="1"/>
    <x v="218"/>
    <x v="13"/>
    <x v="4"/>
    <n v="47853"/>
    <x v="220"/>
  </r>
  <r>
    <x v="2"/>
    <x v="219"/>
    <x v="13"/>
    <x v="4"/>
    <n v="47853"/>
    <x v="221"/>
  </r>
  <r>
    <x v="0"/>
    <x v="220"/>
    <x v="14"/>
    <x v="4"/>
    <n v="33973"/>
    <x v="222"/>
  </r>
  <r>
    <x v="1"/>
    <x v="221"/>
    <x v="14"/>
    <x v="4"/>
    <n v="33973"/>
    <x v="223"/>
  </r>
  <r>
    <x v="2"/>
    <x v="222"/>
    <x v="14"/>
    <x v="4"/>
    <n v="33973"/>
    <x v="224"/>
  </r>
  <r>
    <x v="0"/>
    <x v="223"/>
    <x v="0"/>
    <x v="5"/>
    <n v="582556"/>
    <x v="225"/>
  </r>
  <r>
    <x v="1"/>
    <x v="224"/>
    <x v="0"/>
    <x v="5"/>
    <n v="582556"/>
    <x v="226"/>
  </r>
  <r>
    <x v="2"/>
    <x v="225"/>
    <x v="0"/>
    <x v="5"/>
    <n v="582556"/>
    <x v="227"/>
  </r>
  <r>
    <x v="0"/>
    <x v="226"/>
    <x v="1"/>
    <x v="5"/>
    <n v="9335"/>
    <x v="228"/>
  </r>
  <r>
    <x v="1"/>
    <x v="227"/>
    <x v="1"/>
    <x v="5"/>
    <n v="9335"/>
    <x v="229"/>
  </r>
  <r>
    <x v="2"/>
    <x v="228"/>
    <x v="1"/>
    <x v="5"/>
    <n v="9335"/>
    <x v="230"/>
  </r>
  <r>
    <x v="0"/>
    <x v="229"/>
    <x v="2"/>
    <x v="5"/>
    <n v="143880"/>
    <x v="231"/>
  </r>
  <r>
    <x v="1"/>
    <x v="230"/>
    <x v="2"/>
    <x v="5"/>
    <n v="143880"/>
    <x v="232"/>
  </r>
  <r>
    <x v="2"/>
    <x v="231"/>
    <x v="2"/>
    <x v="5"/>
    <n v="143880"/>
    <x v="233"/>
  </r>
  <r>
    <x v="0"/>
    <x v="232"/>
    <x v="3"/>
    <x v="5"/>
    <n v="30840"/>
    <x v="234"/>
  </r>
  <r>
    <x v="1"/>
    <x v="233"/>
    <x v="3"/>
    <x v="5"/>
    <n v="30840"/>
    <x v="235"/>
  </r>
  <r>
    <x v="2"/>
    <x v="234"/>
    <x v="3"/>
    <x v="5"/>
    <n v="30840"/>
    <x v="236"/>
  </r>
  <r>
    <x v="0"/>
    <x v="57"/>
    <x v="4"/>
    <x v="5"/>
    <n v="30378"/>
    <x v="237"/>
  </r>
  <r>
    <x v="1"/>
    <x v="235"/>
    <x v="4"/>
    <x v="5"/>
    <n v="30378"/>
    <x v="238"/>
  </r>
  <r>
    <x v="2"/>
    <x v="236"/>
    <x v="4"/>
    <x v="5"/>
    <n v="30378"/>
    <x v="239"/>
  </r>
  <r>
    <x v="0"/>
    <x v="237"/>
    <x v="5"/>
    <x v="5"/>
    <n v="24301"/>
    <x v="240"/>
  </r>
  <r>
    <x v="1"/>
    <x v="238"/>
    <x v="5"/>
    <x v="5"/>
    <n v="24301"/>
    <x v="241"/>
  </r>
  <r>
    <x v="2"/>
    <x v="239"/>
    <x v="5"/>
    <x v="5"/>
    <n v="24301"/>
    <x v="242"/>
  </r>
  <r>
    <x v="0"/>
    <x v="240"/>
    <x v="6"/>
    <x v="5"/>
    <n v="58856"/>
    <x v="243"/>
  </r>
  <r>
    <x v="1"/>
    <x v="241"/>
    <x v="6"/>
    <x v="5"/>
    <n v="58856"/>
    <x v="244"/>
  </r>
  <r>
    <x v="2"/>
    <x v="242"/>
    <x v="6"/>
    <x v="5"/>
    <n v="58856"/>
    <x v="245"/>
  </r>
  <r>
    <x v="0"/>
    <x v="243"/>
    <x v="7"/>
    <x v="5"/>
    <n v="27963"/>
    <x v="246"/>
  </r>
  <r>
    <x v="1"/>
    <x v="244"/>
    <x v="7"/>
    <x v="5"/>
    <n v="27963"/>
    <x v="247"/>
  </r>
  <r>
    <x v="2"/>
    <x v="245"/>
    <x v="7"/>
    <x v="5"/>
    <n v="27963"/>
    <x v="248"/>
  </r>
  <r>
    <x v="0"/>
    <x v="246"/>
    <x v="8"/>
    <x v="5"/>
    <n v="82535"/>
    <x v="249"/>
  </r>
  <r>
    <x v="1"/>
    <x v="247"/>
    <x v="8"/>
    <x v="5"/>
    <n v="82535"/>
    <x v="250"/>
  </r>
  <r>
    <x v="2"/>
    <x v="248"/>
    <x v="8"/>
    <x v="5"/>
    <n v="82535"/>
    <x v="251"/>
  </r>
  <r>
    <x v="0"/>
    <x v="249"/>
    <x v="9"/>
    <x v="5"/>
    <n v="34085"/>
    <x v="252"/>
  </r>
  <r>
    <x v="1"/>
    <x v="250"/>
    <x v="9"/>
    <x v="5"/>
    <n v="34085"/>
    <x v="253"/>
  </r>
  <r>
    <x v="2"/>
    <x v="251"/>
    <x v="9"/>
    <x v="5"/>
    <n v="34085"/>
    <x v="254"/>
  </r>
  <r>
    <x v="0"/>
    <x v="252"/>
    <x v="10"/>
    <x v="5"/>
    <n v="33307"/>
    <x v="255"/>
  </r>
  <r>
    <x v="1"/>
    <x v="253"/>
    <x v="10"/>
    <x v="5"/>
    <n v="33307"/>
    <x v="256"/>
  </r>
  <r>
    <x v="2"/>
    <x v="254"/>
    <x v="10"/>
    <x v="5"/>
    <n v="33307"/>
    <x v="257"/>
  </r>
  <r>
    <x v="0"/>
    <x v="255"/>
    <x v="11"/>
    <x v="5"/>
    <n v="145550"/>
    <x v="258"/>
  </r>
  <r>
    <x v="1"/>
    <x v="256"/>
    <x v="11"/>
    <x v="5"/>
    <n v="145550"/>
    <x v="259"/>
  </r>
  <r>
    <x v="2"/>
    <x v="257"/>
    <x v="11"/>
    <x v="5"/>
    <n v="145550"/>
    <x v="260"/>
  </r>
  <r>
    <x v="0"/>
    <x v="258"/>
    <x v="12"/>
    <x v="5"/>
    <n v="30084"/>
    <x v="261"/>
  </r>
  <r>
    <x v="1"/>
    <x v="259"/>
    <x v="12"/>
    <x v="5"/>
    <n v="30084"/>
    <x v="262"/>
  </r>
  <r>
    <x v="2"/>
    <x v="14"/>
    <x v="12"/>
    <x v="5"/>
    <n v="30084"/>
    <x v="263"/>
  </r>
  <r>
    <x v="0"/>
    <x v="260"/>
    <x v="13"/>
    <x v="5"/>
    <n v="47288"/>
    <x v="264"/>
  </r>
  <r>
    <x v="1"/>
    <x v="261"/>
    <x v="13"/>
    <x v="5"/>
    <n v="47288"/>
    <x v="265"/>
  </r>
  <r>
    <x v="2"/>
    <x v="262"/>
    <x v="13"/>
    <x v="5"/>
    <n v="47288"/>
    <x v="266"/>
  </r>
  <r>
    <x v="0"/>
    <x v="263"/>
    <x v="14"/>
    <x v="5"/>
    <n v="33505"/>
    <x v="267"/>
  </r>
  <r>
    <x v="1"/>
    <x v="264"/>
    <x v="14"/>
    <x v="5"/>
    <n v="33505"/>
    <x v="268"/>
  </r>
  <r>
    <x v="2"/>
    <x v="265"/>
    <x v="14"/>
    <x v="5"/>
    <n v="33505"/>
    <x v="269"/>
  </r>
  <r>
    <x v="0"/>
    <x v="266"/>
    <x v="0"/>
    <x v="6"/>
    <n v="589610"/>
    <x v="270"/>
  </r>
  <r>
    <x v="1"/>
    <x v="267"/>
    <x v="0"/>
    <x v="6"/>
    <n v="589610"/>
    <x v="271"/>
  </r>
  <r>
    <x v="2"/>
    <x v="268"/>
    <x v="0"/>
    <x v="6"/>
    <n v="589610"/>
    <x v="272"/>
  </r>
  <r>
    <x v="0"/>
    <x v="269"/>
    <x v="1"/>
    <x v="6"/>
    <n v="9387"/>
    <x v="273"/>
  </r>
  <r>
    <x v="1"/>
    <x v="270"/>
    <x v="1"/>
    <x v="6"/>
    <n v="9387"/>
    <x v="274"/>
  </r>
  <r>
    <x v="2"/>
    <x v="271"/>
    <x v="1"/>
    <x v="6"/>
    <n v="9387"/>
    <x v="275"/>
  </r>
  <r>
    <x v="0"/>
    <x v="272"/>
    <x v="2"/>
    <x v="6"/>
    <n v="138266"/>
    <x v="276"/>
  </r>
  <r>
    <x v="1"/>
    <x v="273"/>
    <x v="2"/>
    <x v="6"/>
    <n v="138266"/>
    <x v="277"/>
  </r>
  <r>
    <x v="2"/>
    <x v="274"/>
    <x v="2"/>
    <x v="6"/>
    <n v="138266"/>
    <x v="278"/>
  </r>
  <r>
    <x v="0"/>
    <x v="275"/>
    <x v="3"/>
    <x v="6"/>
    <n v="29119"/>
    <x v="279"/>
  </r>
  <r>
    <x v="1"/>
    <x v="276"/>
    <x v="3"/>
    <x v="6"/>
    <n v="29119"/>
    <x v="280"/>
  </r>
  <r>
    <x v="2"/>
    <x v="277"/>
    <x v="3"/>
    <x v="6"/>
    <n v="29119"/>
    <x v="281"/>
  </r>
  <r>
    <x v="0"/>
    <x v="278"/>
    <x v="4"/>
    <x v="6"/>
    <n v="30661"/>
    <x v="282"/>
  </r>
  <r>
    <x v="1"/>
    <x v="74"/>
    <x v="4"/>
    <x v="6"/>
    <n v="30661"/>
    <x v="283"/>
  </r>
  <r>
    <x v="2"/>
    <x v="279"/>
    <x v="4"/>
    <x v="6"/>
    <n v="30661"/>
    <x v="284"/>
  </r>
  <r>
    <x v="0"/>
    <x v="280"/>
    <x v="5"/>
    <x v="6"/>
    <n v="20646"/>
    <x v="285"/>
  </r>
  <r>
    <x v="1"/>
    <x v="281"/>
    <x v="5"/>
    <x v="6"/>
    <n v="20646"/>
    <x v="286"/>
  </r>
  <r>
    <x v="2"/>
    <x v="282"/>
    <x v="5"/>
    <x v="6"/>
    <n v="20646"/>
    <x v="287"/>
  </r>
  <r>
    <x v="0"/>
    <x v="283"/>
    <x v="6"/>
    <x v="6"/>
    <n v="59791"/>
    <x v="288"/>
  </r>
  <r>
    <x v="1"/>
    <x v="284"/>
    <x v="6"/>
    <x v="6"/>
    <n v="59791"/>
    <x v="289"/>
  </r>
  <r>
    <x v="2"/>
    <x v="285"/>
    <x v="6"/>
    <x v="6"/>
    <n v="59791"/>
    <x v="290"/>
  </r>
  <r>
    <x v="0"/>
    <x v="286"/>
    <x v="7"/>
    <x v="6"/>
    <n v="25290"/>
    <x v="291"/>
  </r>
  <r>
    <x v="1"/>
    <x v="287"/>
    <x v="7"/>
    <x v="6"/>
    <n v="25290"/>
    <x v="292"/>
  </r>
  <r>
    <x v="2"/>
    <x v="288"/>
    <x v="7"/>
    <x v="6"/>
    <n v="25290"/>
    <x v="293"/>
  </r>
  <r>
    <x v="0"/>
    <x v="289"/>
    <x v="8"/>
    <x v="6"/>
    <n v="85756"/>
    <x v="294"/>
  </r>
  <r>
    <x v="1"/>
    <x v="290"/>
    <x v="8"/>
    <x v="6"/>
    <n v="85756"/>
    <x v="295"/>
  </r>
  <r>
    <x v="2"/>
    <x v="291"/>
    <x v="8"/>
    <x v="6"/>
    <n v="85756"/>
    <x v="296"/>
  </r>
  <r>
    <x v="0"/>
    <x v="292"/>
    <x v="9"/>
    <x v="6"/>
    <n v="33299"/>
    <x v="297"/>
  </r>
  <r>
    <x v="1"/>
    <x v="293"/>
    <x v="9"/>
    <x v="6"/>
    <n v="33299"/>
    <x v="298"/>
  </r>
  <r>
    <x v="2"/>
    <x v="294"/>
    <x v="9"/>
    <x v="6"/>
    <n v="33299"/>
    <x v="299"/>
  </r>
  <r>
    <x v="0"/>
    <x v="295"/>
    <x v="10"/>
    <x v="6"/>
    <n v="33231"/>
    <x v="300"/>
  </r>
  <r>
    <x v="1"/>
    <x v="296"/>
    <x v="10"/>
    <x v="6"/>
    <n v="33231"/>
    <x v="301"/>
  </r>
  <r>
    <x v="2"/>
    <x v="297"/>
    <x v="10"/>
    <x v="6"/>
    <n v="33231"/>
    <x v="302"/>
  </r>
  <r>
    <x v="0"/>
    <x v="298"/>
    <x v="11"/>
    <x v="6"/>
    <n v="151122"/>
    <x v="303"/>
  </r>
  <r>
    <x v="1"/>
    <x v="299"/>
    <x v="11"/>
    <x v="6"/>
    <n v="151122"/>
    <x v="304"/>
  </r>
  <r>
    <x v="2"/>
    <x v="300"/>
    <x v="11"/>
    <x v="6"/>
    <n v="151122"/>
    <x v="305"/>
  </r>
  <r>
    <x v="0"/>
    <x v="301"/>
    <x v="12"/>
    <x v="6"/>
    <n v="28669"/>
    <x v="306"/>
  </r>
  <r>
    <x v="1"/>
    <x v="302"/>
    <x v="12"/>
    <x v="6"/>
    <n v="28669"/>
    <x v="307"/>
  </r>
  <r>
    <x v="2"/>
    <x v="303"/>
    <x v="12"/>
    <x v="6"/>
    <n v="28669"/>
    <x v="308"/>
  </r>
  <r>
    <x v="0"/>
    <x v="304"/>
    <x v="13"/>
    <x v="6"/>
    <n v="46782"/>
    <x v="309"/>
  </r>
  <r>
    <x v="1"/>
    <x v="305"/>
    <x v="13"/>
    <x v="6"/>
    <n v="46782"/>
    <x v="310"/>
  </r>
  <r>
    <x v="2"/>
    <x v="306"/>
    <x v="13"/>
    <x v="6"/>
    <n v="46782"/>
    <x v="311"/>
  </r>
  <r>
    <x v="0"/>
    <x v="307"/>
    <x v="14"/>
    <x v="6"/>
    <n v="36133"/>
    <x v="312"/>
  </r>
  <r>
    <x v="1"/>
    <x v="308"/>
    <x v="14"/>
    <x v="6"/>
    <n v="36133"/>
    <x v="313"/>
  </r>
  <r>
    <x v="2"/>
    <x v="309"/>
    <x v="14"/>
    <x v="6"/>
    <n v="36133"/>
    <x v="314"/>
  </r>
  <r>
    <x v="0"/>
    <x v="310"/>
    <x v="0"/>
    <x v="7"/>
    <n v="598059"/>
    <x v="315"/>
  </r>
  <r>
    <x v="1"/>
    <x v="311"/>
    <x v="0"/>
    <x v="7"/>
    <n v="598059"/>
    <x v="316"/>
  </r>
  <r>
    <x v="2"/>
    <x v="312"/>
    <x v="0"/>
    <x v="7"/>
    <n v="598059"/>
    <x v="317"/>
  </r>
  <r>
    <x v="0"/>
    <x v="313"/>
    <x v="1"/>
    <x v="7"/>
    <n v="9387"/>
    <x v="318"/>
  </r>
  <r>
    <x v="1"/>
    <x v="314"/>
    <x v="1"/>
    <x v="7"/>
    <n v="9387"/>
    <x v="319"/>
  </r>
  <r>
    <x v="2"/>
    <x v="315"/>
    <x v="1"/>
    <x v="7"/>
    <n v="9387"/>
    <x v="320"/>
  </r>
  <r>
    <x v="0"/>
    <x v="316"/>
    <x v="2"/>
    <x v="7"/>
    <n v="136240"/>
    <x v="321"/>
  </r>
  <r>
    <x v="1"/>
    <x v="317"/>
    <x v="2"/>
    <x v="7"/>
    <n v="136240"/>
    <x v="322"/>
  </r>
  <r>
    <x v="2"/>
    <x v="318"/>
    <x v="2"/>
    <x v="7"/>
    <n v="136240"/>
    <x v="323"/>
  </r>
  <r>
    <x v="0"/>
    <x v="319"/>
    <x v="3"/>
    <x v="7"/>
    <n v="28734"/>
    <x v="324"/>
  </r>
  <r>
    <x v="1"/>
    <x v="320"/>
    <x v="3"/>
    <x v="7"/>
    <n v="28734"/>
    <x v="325"/>
  </r>
  <r>
    <x v="2"/>
    <x v="321"/>
    <x v="3"/>
    <x v="7"/>
    <n v="28734"/>
    <x v="326"/>
  </r>
  <r>
    <x v="0"/>
    <x v="322"/>
    <x v="4"/>
    <x v="7"/>
    <n v="30286"/>
    <x v="327"/>
  </r>
  <r>
    <x v="1"/>
    <x v="323"/>
    <x v="4"/>
    <x v="7"/>
    <n v="30286"/>
    <x v="328"/>
  </r>
  <r>
    <x v="2"/>
    <x v="324"/>
    <x v="4"/>
    <x v="7"/>
    <n v="30286"/>
    <x v="329"/>
  </r>
  <r>
    <x v="0"/>
    <x v="325"/>
    <x v="5"/>
    <x v="7"/>
    <n v="20507"/>
    <x v="330"/>
  </r>
  <r>
    <x v="1"/>
    <x v="326"/>
    <x v="5"/>
    <x v="7"/>
    <n v="20507"/>
    <x v="331"/>
  </r>
  <r>
    <x v="2"/>
    <x v="327"/>
    <x v="5"/>
    <x v="7"/>
    <n v="20507"/>
    <x v="332"/>
  </r>
  <r>
    <x v="0"/>
    <x v="328"/>
    <x v="6"/>
    <x v="7"/>
    <n v="59325"/>
    <x v="333"/>
  </r>
  <r>
    <x v="1"/>
    <x v="329"/>
    <x v="6"/>
    <x v="7"/>
    <n v="59325"/>
    <x v="334"/>
  </r>
  <r>
    <x v="2"/>
    <x v="330"/>
    <x v="6"/>
    <x v="7"/>
    <n v="59325"/>
    <x v="335"/>
  </r>
  <r>
    <x v="0"/>
    <x v="331"/>
    <x v="7"/>
    <x v="7"/>
    <n v="25006"/>
    <x v="336"/>
  </r>
  <r>
    <x v="1"/>
    <x v="332"/>
    <x v="7"/>
    <x v="7"/>
    <n v="25006"/>
    <x v="337"/>
  </r>
  <r>
    <x v="2"/>
    <x v="333"/>
    <x v="7"/>
    <x v="7"/>
    <n v="25006"/>
    <x v="338"/>
  </r>
  <r>
    <x v="0"/>
    <x v="334"/>
    <x v="8"/>
    <x v="7"/>
    <n v="85938"/>
    <x v="339"/>
  </r>
  <r>
    <x v="1"/>
    <x v="335"/>
    <x v="8"/>
    <x v="7"/>
    <n v="85938"/>
    <x v="340"/>
  </r>
  <r>
    <x v="2"/>
    <x v="336"/>
    <x v="8"/>
    <x v="7"/>
    <n v="85938"/>
    <x v="341"/>
  </r>
  <r>
    <x v="0"/>
    <x v="337"/>
    <x v="9"/>
    <x v="7"/>
    <n v="33311"/>
    <x v="342"/>
  </r>
  <r>
    <x v="1"/>
    <x v="338"/>
    <x v="9"/>
    <x v="7"/>
    <n v="33311"/>
    <x v="343"/>
  </r>
  <r>
    <x v="2"/>
    <x v="339"/>
    <x v="9"/>
    <x v="7"/>
    <n v="33311"/>
    <x v="344"/>
  </r>
  <r>
    <x v="0"/>
    <x v="340"/>
    <x v="10"/>
    <x v="7"/>
    <n v="33108"/>
    <x v="345"/>
  </r>
  <r>
    <x v="1"/>
    <x v="341"/>
    <x v="10"/>
    <x v="7"/>
    <n v="33108"/>
    <x v="346"/>
  </r>
  <r>
    <x v="2"/>
    <x v="342"/>
    <x v="10"/>
    <x v="7"/>
    <n v="33108"/>
    <x v="347"/>
  </r>
  <r>
    <x v="0"/>
    <x v="343"/>
    <x v="11"/>
    <x v="7"/>
    <n v="152977"/>
    <x v="348"/>
  </r>
  <r>
    <x v="1"/>
    <x v="344"/>
    <x v="11"/>
    <x v="7"/>
    <n v="152977"/>
    <x v="349"/>
  </r>
  <r>
    <x v="2"/>
    <x v="345"/>
    <x v="11"/>
    <x v="7"/>
    <n v="152977"/>
    <x v="350"/>
  </r>
  <r>
    <x v="0"/>
    <x v="346"/>
    <x v="12"/>
    <x v="7"/>
    <n v="28370"/>
    <x v="351"/>
  </r>
  <r>
    <x v="1"/>
    <x v="347"/>
    <x v="12"/>
    <x v="7"/>
    <n v="28370"/>
    <x v="352"/>
  </r>
  <r>
    <x v="2"/>
    <x v="348"/>
    <x v="12"/>
    <x v="7"/>
    <n v="28370"/>
    <x v="353"/>
  </r>
  <r>
    <x v="0"/>
    <x v="349"/>
    <x v="13"/>
    <x v="7"/>
    <n v="46371"/>
    <x v="354"/>
  </r>
  <r>
    <x v="1"/>
    <x v="350"/>
    <x v="13"/>
    <x v="7"/>
    <n v="46371"/>
    <x v="355"/>
  </r>
  <r>
    <x v="2"/>
    <x v="351"/>
    <x v="13"/>
    <x v="7"/>
    <n v="46371"/>
    <x v="356"/>
  </r>
  <r>
    <x v="0"/>
    <x v="352"/>
    <x v="14"/>
    <x v="7"/>
    <n v="35782"/>
    <x v="357"/>
  </r>
  <r>
    <x v="1"/>
    <x v="353"/>
    <x v="14"/>
    <x v="7"/>
    <n v="35782"/>
    <x v="358"/>
  </r>
  <r>
    <x v="2"/>
    <x v="354"/>
    <x v="14"/>
    <x v="7"/>
    <n v="35782"/>
    <x v="3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n v="98.82"/>
    <x v="0"/>
    <x v="0"/>
    <n v="566741"/>
    <x v="0"/>
  </r>
  <r>
    <x v="1"/>
    <n v="2286.81"/>
    <x v="0"/>
    <x v="0"/>
    <n v="566741"/>
    <x v="1"/>
  </r>
  <r>
    <x v="2"/>
    <n v="7557.54"/>
    <x v="0"/>
    <x v="0"/>
    <n v="566741"/>
    <x v="2"/>
  </r>
  <r>
    <x v="0"/>
    <n v="8.68"/>
    <x v="1"/>
    <x v="0"/>
    <n v="8620"/>
    <x v="3"/>
  </r>
  <r>
    <x v="1"/>
    <n v="21.15"/>
    <x v="1"/>
    <x v="0"/>
    <n v="8620"/>
    <x v="4"/>
  </r>
  <r>
    <x v="2"/>
    <n v="27.91"/>
    <x v="1"/>
    <x v="0"/>
    <n v="8620"/>
    <x v="5"/>
  </r>
  <r>
    <x v="0"/>
    <n v="18.43"/>
    <x v="2"/>
    <x v="0"/>
    <n v="153716"/>
    <x v="6"/>
  </r>
  <r>
    <x v="1"/>
    <n v="650.86"/>
    <x v="2"/>
    <x v="0"/>
    <n v="153716"/>
    <x v="7"/>
  </r>
  <r>
    <x v="2"/>
    <n v="475.93"/>
    <x v="2"/>
    <x v="0"/>
    <n v="153716"/>
    <x v="8"/>
  </r>
  <r>
    <x v="0"/>
    <n v="48.05"/>
    <x v="3"/>
    <x v="0"/>
    <n v="31967"/>
    <x v="9"/>
  </r>
  <r>
    <x v="1"/>
    <n v="52.5"/>
    <x v="3"/>
    <x v="0"/>
    <n v="31967"/>
    <x v="10"/>
  </r>
  <r>
    <x v="2"/>
    <n v="75.22"/>
    <x v="3"/>
    <x v="0"/>
    <n v="31967"/>
    <x v="11"/>
  </r>
  <r>
    <x v="0"/>
    <n v="37.29"/>
    <x v="4"/>
    <x v="0"/>
    <n v="31204"/>
    <x v="12"/>
  </r>
  <r>
    <x v="1"/>
    <n v="99.23"/>
    <x v="4"/>
    <x v="0"/>
    <n v="31204"/>
    <x v="13"/>
  </r>
  <r>
    <x v="2"/>
    <n v="102.15"/>
    <x v="4"/>
    <x v="0"/>
    <n v="31204"/>
    <x v="14"/>
  </r>
  <r>
    <x v="0"/>
    <n v="17.32"/>
    <x v="5"/>
    <x v="0"/>
    <n v="24734"/>
    <x v="15"/>
  </r>
  <r>
    <x v="1"/>
    <n v="61.22"/>
    <x v="5"/>
    <x v="0"/>
    <n v="24734"/>
    <x v="16"/>
  </r>
  <r>
    <x v="2"/>
    <n v="91.29"/>
    <x v="5"/>
    <x v="0"/>
    <n v="24734"/>
    <x v="17"/>
  </r>
  <r>
    <x v="0"/>
    <n v="59.99"/>
    <x v="6"/>
    <x v="0"/>
    <n v="61154"/>
    <x v="18"/>
  </r>
  <r>
    <x v="1"/>
    <n v="210.6"/>
    <x v="6"/>
    <x v="0"/>
    <n v="61154"/>
    <x v="19"/>
  </r>
  <r>
    <x v="2"/>
    <n v="219.95"/>
    <x v="6"/>
    <x v="0"/>
    <n v="61154"/>
    <x v="20"/>
  </r>
  <r>
    <x v="0"/>
    <n v="30.02"/>
    <x v="7"/>
    <x v="0"/>
    <n v="28026"/>
    <x v="21"/>
  </r>
  <r>
    <x v="1"/>
    <n v="48.15"/>
    <x v="7"/>
    <x v="0"/>
    <n v="28026"/>
    <x v="22"/>
  </r>
  <r>
    <x v="2"/>
    <n v="65.88"/>
    <x v="7"/>
    <x v="0"/>
    <n v="28026"/>
    <x v="23"/>
  </r>
  <r>
    <x v="0"/>
    <n v="58.54"/>
    <x v="8"/>
    <x v="0"/>
    <n v="84388"/>
    <x v="24"/>
  </r>
  <r>
    <x v="1"/>
    <n v="231.04"/>
    <x v="8"/>
    <x v="0"/>
    <n v="84388"/>
    <x v="25"/>
  </r>
  <r>
    <x v="2"/>
    <n v="386.34"/>
    <x v="8"/>
    <x v="0"/>
    <n v="84388"/>
    <x v="26"/>
  </r>
  <r>
    <x v="0"/>
    <n v="26.32"/>
    <x v="9"/>
    <x v="0"/>
    <n v="35503"/>
    <x v="27"/>
  </r>
  <r>
    <x v="1"/>
    <n v="65.790000000000006"/>
    <x v="9"/>
    <x v="0"/>
    <n v="35503"/>
    <x v="28"/>
  </r>
  <r>
    <x v="2"/>
    <n v="96.76"/>
    <x v="9"/>
    <x v="0"/>
    <n v="35503"/>
    <x v="29"/>
  </r>
  <r>
    <x v="0"/>
    <n v="17.48"/>
    <x v="10"/>
    <x v="0"/>
    <n v="31835"/>
    <x v="30"/>
  </r>
  <r>
    <x v="1"/>
    <n v="108.5"/>
    <x v="10"/>
    <x v="0"/>
    <n v="31835"/>
    <x v="31"/>
  </r>
  <r>
    <x v="2"/>
    <n v="146.47999999999999"/>
    <x v="10"/>
    <x v="0"/>
    <n v="31835"/>
    <x v="32"/>
  </r>
  <r>
    <x v="0"/>
    <n v="68.88"/>
    <x v="11"/>
    <x v="0"/>
    <n v="153479"/>
    <x v="33"/>
  </r>
  <r>
    <x v="1"/>
    <n v="411.47"/>
    <x v="11"/>
    <x v="0"/>
    <n v="153479"/>
    <x v="34"/>
  </r>
  <r>
    <x v="2"/>
    <n v="1073.1500000000001"/>
    <x v="11"/>
    <x v="0"/>
    <n v="153479"/>
    <x v="35"/>
  </r>
  <r>
    <x v="0"/>
    <n v="24.89"/>
    <x v="12"/>
    <x v="0"/>
    <n v="31068"/>
    <x v="36"/>
  </r>
  <r>
    <x v="1"/>
    <n v="65.58"/>
    <x v="12"/>
    <x v="0"/>
    <n v="31068"/>
    <x v="37"/>
  </r>
  <r>
    <x v="2"/>
    <n v="78.55"/>
    <x v="12"/>
    <x v="0"/>
    <n v="31068"/>
    <x v="38"/>
  </r>
  <r>
    <x v="0"/>
    <n v="57.69"/>
    <x v="13"/>
    <x v="0"/>
    <n v="48604"/>
    <x v="39"/>
  </r>
  <r>
    <x v="1"/>
    <n v="132.88999999999999"/>
    <x v="13"/>
    <x v="0"/>
    <n v="48604"/>
    <x v="40"/>
  </r>
  <r>
    <x v="2"/>
    <n v="161.18"/>
    <x v="13"/>
    <x v="0"/>
    <n v="48604"/>
    <x v="41"/>
  </r>
  <r>
    <x v="0"/>
    <n v="21.63"/>
    <x v="14"/>
    <x v="0"/>
    <n v="34178"/>
    <x v="42"/>
  </r>
  <r>
    <x v="1"/>
    <n v="81.14"/>
    <x v="14"/>
    <x v="0"/>
    <n v="34178"/>
    <x v="43"/>
  </r>
  <r>
    <x v="2"/>
    <n v="111.32"/>
    <x v="14"/>
    <x v="0"/>
    <n v="34178"/>
    <x v="44"/>
  </r>
  <r>
    <x v="0"/>
    <n v="76.430000000000007"/>
    <x v="0"/>
    <x v="1"/>
    <n v="567967"/>
    <x v="45"/>
  </r>
  <r>
    <x v="1"/>
    <n v="2371.85"/>
    <x v="0"/>
    <x v="1"/>
    <n v="567967"/>
    <x v="46"/>
  </r>
  <r>
    <x v="2"/>
    <n v="8124.5"/>
    <x v="0"/>
    <x v="1"/>
    <n v="567967"/>
    <x v="47"/>
  </r>
  <r>
    <x v="0"/>
    <n v="9.9"/>
    <x v="1"/>
    <x v="1"/>
    <n v="8638"/>
    <x v="48"/>
  </r>
  <r>
    <x v="1"/>
    <n v="21.33"/>
    <x v="1"/>
    <x v="1"/>
    <n v="8638"/>
    <x v="49"/>
  </r>
  <r>
    <x v="2"/>
    <n v="27.75"/>
    <x v="1"/>
    <x v="1"/>
    <n v="8638"/>
    <x v="50"/>
  </r>
  <r>
    <x v="0"/>
    <n v="14.86"/>
    <x v="2"/>
    <x v="1"/>
    <n v="151909"/>
    <x v="51"/>
  </r>
  <r>
    <x v="1"/>
    <n v="801.27"/>
    <x v="2"/>
    <x v="1"/>
    <n v="151909"/>
    <x v="52"/>
  </r>
  <r>
    <x v="2"/>
    <n v="451.03"/>
    <x v="2"/>
    <x v="1"/>
    <n v="151909"/>
    <x v="53"/>
  </r>
  <r>
    <x v="0"/>
    <n v="46.07"/>
    <x v="3"/>
    <x v="1"/>
    <n v="31587"/>
    <x v="54"/>
  </r>
  <r>
    <x v="1"/>
    <n v="62.58"/>
    <x v="3"/>
    <x v="1"/>
    <n v="31587"/>
    <x v="55"/>
  </r>
  <r>
    <x v="2"/>
    <n v="75.34"/>
    <x v="3"/>
    <x v="1"/>
    <n v="31587"/>
    <x v="56"/>
  </r>
  <r>
    <x v="0"/>
    <n v="36.53"/>
    <x v="4"/>
    <x v="1"/>
    <n v="30913"/>
    <x v="57"/>
  </r>
  <r>
    <x v="1"/>
    <n v="92.82"/>
    <x v="4"/>
    <x v="1"/>
    <n v="30913"/>
    <x v="58"/>
  </r>
  <r>
    <x v="2"/>
    <n v="101.21"/>
    <x v="4"/>
    <x v="1"/>
    <n v="30913"/>
    <x v="59"/>
  </r>
  <r>
    <x v="0"/>
    <n v="14.92"/>
    <x v="5"/>
    <x v="1"/>
    <n v="24622"/>
    <x v="60"/>
  </r>
  <r>
    <x v="1"/>
    <n v="59.21"/>
    <x v="5"/>
    <x v="1"/>
    <n v="24622"/>
    <x v="61"/>
  </r>
  <r>
    <x v="2"/>
    <n v="94.53"/>
    <x v="5"/>
    <x v="1"/>
    <n v="24622"/>
    <x v="62"/>
  </r>
  <r>
    <x v="0"/>
    <n v="58.66"/>
    <x v="6"/>
    <x v="1"/>
    <n v="60518"/>
    <x v="63"/>
  </r>
  <r>
    <x v="1"/>
    <n v="202.38"/>
    <x v="6"/>
    <x v="1"/>
    <n v="60518"/>
    <x v="64"/>
  </r>
  <r>
    <x v="2"/>
    <n v="195.13"/>
    <x v="6"/>
    <x v="1"/>
    <n v="60518"/>
    <x v="65"/>
  </r>
  <r>
    <x v="0"/>
    <n v="21.6"/>
    <x v="7"/>
    <x v="1"/>
    <n v="27816"/>
    <x v="66"/>
  </r>
  <r>
    <x v="1"/>
    <n v="46.62"/>
    <x v="7"/>
    <x v="1"/>
    <n v="27816"/>
    <x v="67"/>
  </r>
  <r>
    <x v="2"/>
    <n v="81.430000000000007"/>
    <x v="7"/>
    <x v="1"/>
    <n v="27816"/>
    <x v="68"/>
  </r>
  <r>
    <x v="0"/>
    <n v="60.86"/>
    <x v="8"/>
    <x v="1"/>
    <n v="83677"/>
    <x v="69"/>
  </r>
  <r>
    <x v="1"/>
    <n v="242.13"/>
    <x v="8"/>
    <x v="1"/>
    <n v="83677"/>
    <x v="70"/>
  </r>
  <r>
    <x v="2"/>
    <n v="384.01"/>
    <x v="8"/>
    <x v="1"/>
    <n v="83677"/>
    <x v="71"/>
  </r>
  <r>
    <x v="0"/>
    <n v="25.6"/>
    <x v="9"/>
    <x v="1"/>
    <n v="35069"/>
    <x v="72"/>
  </r>
  <r>
    <x v="1"/>
    <n v="71.25"/>
    <x v="9"/>
    <x v="1"/>
    <n v="35069"/>
    <x v="73"/>
  </r>
  <r>
    <x v="2"/>
    <n v="124.84"/>
    <x v="9"/>
    <x v="1"/>
    <n v="35069"/>
    <x v="74"/>
  </r>
  <r>
    <x v="0"/>
    <n v="17.73"/>
    <x v="10"/>
    <x v="1"/>
    <n v="31815"/>
    <x v="75"/>
  </r>
  <r>
    <x v="1"/>
    <n v="99.75"/>
    <x v="10"/>
    <x v="1"/>
    <n v="31815"/>
    <x v="76"/>
  </r>
  <r>
    <x v="2"/>
    <n v="157.49"/>
    <x v="10"/>
    <x v="1"/>
    <n v="31815"/>
    <x v="77"/>
  </r>
  <r>
    <x v="0"/>
    <n v="73.86"/>
    <x v="11"/>
    <x v="1"/>
    <n v="153100"/>
    <x v="78"/>
  </r>
  <r>
    <x v="1"/>
    <n v="431.84"/>
    <x v="11"/>
    <x v="1"/>
    <n v="153100"/>
    <x v="79"/>
  </r>
  <r>
    <x v="2"/>
    <n v="1110.3800000000001"/>
    <x v="11"/>
    <x v="1"/>
    <n v="153100"/>
    <x v="80"/>
  </r>
  <r>
    <x v="0"/>
    <n v="29.35"/>
    <x v="12"/>
    <x v="1"/>
    <n v="30590"/>
    <x v="81"/>
  </r>
  <r>
    <x v="1"/>
    <n v="69.510000000000005"/>
    <x v="12"/>
    <x v="1"/>
    <n v="30590"/>
    <x v="82"/>
  </r>
  <r>
    <x v="2"/>
    <n v="83.16"/>
    <x v="12"/>
    <x v="1"/>
    <n v="30590"/>
    <x v="83"/>
  </r>
  <r>
    <x v="0"/>
    <n v="65.150000000000006"/>
    <x v="13"/>
    <x v="1"/>
    <n v="48127"/>
    <x v="84"/>
  </r>
  <r>
    <x v="1"/>
    <n v="133.49"/>
    <x v="13"/>
    <x v="1"/>
    <n v="48127"/>
    <x v="85"/>
  </r>
  <r>
    <x v="2"/>
    <n v="192.06"/>
    <x v="13"/>
    <x v="1"/>
    <n v="48127"/>
    <x v="86"/>
  </r>
  <r>
    <x v="0"/>
    <n v="32.46"/>
    <x v="14"/>
    <x v="1"/>
    <n v="33826"/>
    <x v="87"/>
  </r>
  <r>
    <x v="1"/>
    <n v="87.86"/>
    <x v="14"/>
    <x v="1"/>
    <n v="33826"/>
    <x v="88"/>
  </r>
  <r>
    <x v="2"/>
    <n v="110"/>
    <x v="14"/>
    <x v="1"/>
    <n v="33826"/>
    <x v="89"/>
  </r>
  <r>
    <x v="0"/>
    <n v="78.849999999999994"/>
    <x v="0"/>
    <x v="2"/>
    <n v="572103"/>
    <x v="90"/>
  </r>
  <r>
    <x v="1"/>
    <n v="2523.56"/>
    <x v="0"/>
    <x v="2"/>
    <n v="572103"/>
    <x v="91"/>
  </r>
  <r>
    <x v="2"/>
    <n v="8732.83"/>
    <x v="0"/>
    <x v="2"/>
    <n v="572103"/>
    <x v="92"/>
  </r>
  <r>
    <x v="0"/>
    <n v="7.79"/>
    <x v="1"/>
    <x v="2"/>
    <n v="8589"/>
    <x v="93"/>
  </r>
  <r>
    <x v="1"/>
    <n v="21.24"/>
    <x v="1"/>
    <x v="2"/>
    <n v="8589"/>
    <x v="94"/>
  </r>
  <r>
    <x v="2"/>
    <n v="27"/>
    <x v="1"/>
    <x v="2"/>
    <n v="8589"/>
    <x v="95"/>
  </r>
  <r>
    <x v="0"/>
    <n v="13.83"/>
    <x v="2"/>
    <x v="2"/>
    <n v="149483"/>
    <x v="96"/>
  </r>
  <r>
    <x v="1"/>
    <n v="757.47"/>
    <x v="2"/>
    <x v="2"/>
    <n v="149483"/>
    <x v="97"/>
  </r>
  <r>
    <x v="2"/>
    <n v="467.66"/>
    <x v="2"/>
    <x v="2"/>
    <n v="149483"/>
    <x v="98"/>
  </r>
  <r>
    <x v="0"/>
    <n v="48.89"/>
    <x v="3"/>
    <x v="2"/>
    <n v="31145"/>
    <x v="99"/>
  </r>
  <r>
    <x v="1"/>
    <n v="59.16"/>
    <x v="3"/>
    <x v="2"/>
    <n v="31145"/>
    <x v="100"/>
  </r>
  <r>
    <x v="2"/>
    <n v="71.459999999999994"/>
    <x v="3"/>
    <x v="2"/>
    <n v="31145"/>
    <x v="101"/>
  </r>
  <r>
    <x v="0"/>
    <n v="36.630000000000003"/>
    <x v="4"/>
    <x v="2"/>
    <n v="30425"/>
    <x v="102"/>
  </r>
  <r>
    <x v="1"/>
    <n v="91.01"/>
    <x v="4"/>
    <x v="2"/>
    <n v="30425"/>
    <x v="103"/>
  </r>
  <r>
    <x v="2"/>
    <n v="104.37"/>
    <x v="4"/>
    <x v="2"/>
    <n v="30425"/>
    <x v="104"/>
  </r>
  <r>
    <x v="0"/>
    <n v="15.08"/>
    <x v="5"/>
    <x v="2"/>
    <n v="24323"/>
    <x v="105"/>
  </r>
  <r>
    <x v="1"/>
    <n v="52.94"/>
    <x v="5"/>
    <x v="2"/>
    <n v="24323"/>
    <x v="106"/>
  </r>
  <r>
    <x v="2"/>
    <n v="94.62"/>
    <x v="5"/>
    <x v="2"/>
    <n v="24323"/>
    <x v="107"/>
  </r>
  <r>
    <x v="0"/>
    <n v="62.98"/>
    <x v="6"/>
    <x v="2"/>
    <n v="59583"/>
    <x v="108"/>
  </r>
  <r>
    <x v="1"/>
    <n v="224.92"/>
    <x v="6"/>
    <x v="2"/>
    <n v="59583"/>
    <x v="109"/>
  </r>
  <r>
    <x v="2"/>
    <n v="188.59"/>
    <x v="6"/>
    <x v="2"/>
    <n v="59583"/>
    <x v="110"/>
  </r>
  <r>
    <x v="0"/>
    <n v="25.67"/>
    <x v="7"/>
    <x v="2"/>
    <n v="27641"/>
    <x v="111"/>
  </r>
  <r>
    <x v="1"/>
    <n v="43.5"/>
    <x v="7"/>
    <x v="2"/>
    <n v="27641"/>
    <x v="112"/>
  </r>
  <r>
    <x v="2"/>
    <n v="82.03"/>
    <x v="7"/>
    <x v="2"/>
    <n v="27641"/>
    <x v="113"/>
  </r>
  <r>
    <x v="0"/>
    <n v="66.06"/>
    <x v="8"/>
    <x v="2"/>
    <n v="82829"/>
    <x v="114"/>
  </r>
  <r>
    <x v="1"/>
    <n v="239.83"/>
    <x v="8"/>
    <x v="2"/>
    <n v="82829"/>
    <x v="115"/>
  </r>
  <r>
    <x v="2"/>
    <n v="397.06"/>
    <x v="8"/>
    <x v="2"/>
    <n v="82829"/>
    <x v="116"/>
  </r>
  <r>
    <x v="0"/>
    <n v="38.64"/>
    <x v="9"/>
    <x v="2"/>
    <n v="34676"/>
    <x v="117"/>
  </r>
  <r>
    <x v="1"/>
    <n v="70.28"/>
    <x v="9"/>
    <x v="2"/>
    <n v="34676"/>
    <x v="118"/>
  </r>
  <r>
    <x v="2"/>
    <n v="125.21"/>
    <x v="9"/>
    <x v="2"/>
    <n v="34676"/>
    <x v="119"/>
  </r>
  <r>
    <x v="0"/>
    <n v="17.010000000000002"/>
    <x v="10"/>
    <x v="2"/>
    <n v="31756"/>
    <x v="120"/>
  </r>
  <r>
    <x v="1"/>
    <n v="102.83"/>
    <x v="10"/>
    <x v="2"/>
    <n v="31756"/>
    <x v="121"/>
  </r>
  <r>
    <x v="2"/>
    <n v="160.99"/>
    <x v="10"/>
    <x v="2"/>
    <n v="31756"/>
    <x v="122"/>
  </r>
  <r>
    <x v="0"/>
    <n v="76.430000000000007"/>
    <x v="11"/>
    <x v="2"/>
    <n v="152188"/>
    <x v="123"/>
  </r>
  <r>
    <x v="1"/>
    <n v="471.41"/>
    <x v="11"/>
    <x v="2"/>
    <n v="152188"/>
    <x v="124"/>
  </r>
  <r>
    <x v="2"/>
    <n v="1180.22"/>
    <x v="11"/>
    <x v="2"/>
    <n v="152188"/>
    <x v="125"/>
  </r>
  <r>
    <x v="0"/>
    <n v="33.200000000000003"/>
    <x v="12"/>
    <x v="2"/>
    <n v="30176"/>
    <x v="126"/>
  </r>
  <r>
    <x v="1"/>
    <n v="71.849999999999994"/>
    <x v="12"/>
    <x v="2"/>
    <n v="30176"/>
    <x v="127"/>
  </r>
  <r>
    <x v="2"/>
    <n v="87.15"/>
    <x v="12"/>
    <x v="2"/>
    <n v="30176"/>
    <x v="128"/>
  </r>
  <r>
    <x v="0"/>
    <n v="79.989999999999995"/>
    <x v="13"/>
    <x v="2"/>
    <n v="47476"/>
    <x v="129"/>
  </r>
  <r>
    <x v="1"/>
    <n v="146.25"/>
    <x v="13"/>
    <x v="2"/>
    <n v="47476"/>
    <x v="130"/>
  </r>
  <r>
    <x v="2"/>
    <n v="187.11"/>
    <x v="13"/>
    <x v="2"/>
    <n v="47476"/>
    <x v="131"/>
  </r>
  <r>
    <x v="0"/>
    <n v="33.33"/>
    <x v="14"/>
    <x v="2"/>
    <n v="33426"/>
    <x v="132"/>
  </r>
  <r>
    <x v="1"/>
    <n v="90.24"/>
    <x v="14"/>
    <x v="2"/>
    <n v="33426"/>
    <x v="133"/>
  </r>
  <r>
    <x v="2"/>
    <n v="107.09"/>
    <x v="14"/>
    <x v="2"/>
    <n v="33426"/>
    <x v="134"/>
  </r>
  <r>
    <x v="0"/>
    <n v="55.55"/>
    <x v="0"/>
    <x v="3"/>
    <n v="575601"/>
    <x v="135"/>
  </r>
  <r>
    <x v="1"/>
    <n v="2551.3000000000002"/>
    <x v="0"/>
    <x v="3"/>
    <n v="575601"/>
    <x v="136"/>
  </r>
  <r>
    <x v="2"/>
    <n v="9090.7199999999993"/>
    <x v="0"/>
    <x v="3"/>
    <n v="575601"/>
    <x v="137"/>
  </r>
  <r>
    <x v="0"/>
    <n v="8.7100000000000009"/>
    <x v="1"/>
    <x v="3"/>
    <n v="8582"/>
    <x v="138"/>
  </r>
  <r>
    <x v="1"/>
    <n v="24.49"/>
    <x v="1"/>
    <x v="3"/>
    <n v="8582"/>
    <x v="139"/>
  </r>
  <r>
    <x v="2"/>
    <n v="29.95"/>
    <x v="1"/>
    <x v="3"/>
    <n v="8582"/>
    <x v="140"/>
  </r>
  <r>
    <x v="0"/>
    <n v="13.76"/>
    <x v="2"/>
    <x v="3"/>
    <n v="147597"/>
    <x v="141"/>
  </r>
  <r>
    <x v="1"/>
    <n v="618.14"/>
    <x v="2"/>
    <x v="3"/>
    <n v="147597"/>
    <x v="142"/>
  </r>
  <r>
    <x v="2"/>
    <n v="479.65"/>
    <x v="2"/>
    <x v="3"/>
    <n v="147597"/>
    <x v="143"/>
  </r>
  <r>
    <x v="0"/>
    <n v="42.96"/>
    <x v="3"/>
    <x v="3"/>
    <n v="30841"/>
    <x v="144"/>
  </r>
  <r>
    <x v="1"/>
    <n v="61.48"/>
    <x v="3"/>
    <x v="3"/>
    <n v="30841"/>
    <x v="145"/>
  </r>
  <r>
    <x v="2"/>
    <n v="80.94"/>
    <x v="3"/>
    <x v="3"/>
    <n v="30841"/>
    <x v="146"/>
  </r>
  <r>
    <x v="0"/>
    <n v="33.44"/>
    <x v="4"/>
    <x v="3"/>
    <n v="30109"/>
    <x v="147"/>
  </r>
  <r>
    <x v="1"/>
    <n v="89.65"/>
    <x v="4"/>
    <x v="3"/>
    <n v="30109"/>
    <x v="148"/>
  </r>
  <r>
    <x v="2"/>
    <n v="104.4"/>
    <x v="4"/>
    <x v="3"/>
    <n v="30109"/>
    <x v="149"/>
  </r>
  <r>
    <x v="0"/>
    <n v="15.58"/>
    <x v="5"/>
    <x v="3"/>
    <n v="24070"/>
    <x v="150"/>
  </r>
  <r>
    <x v="1"/>
    <n v="50.1"/>
    <x v="5"/>
    <x v="3"/>
    <n v="24070"/>
    <x v="151"/>
  </r>
  <r>
    <x v="2"/>
    <n v="92.72"/>
    <x v="5"/>
    <x v="3"/>
    <n v="24070"/>
    <x v="152"/>
  </r>
  <r>
    <x v="0"/>
    <n v="57.32"/>
    <x v="6"/>
    <x v="3"/>
    <n v="59039"/>
    <x v="153"/>
  </r>
  <r>
    <x v="1"/>
    <n v="217.5"/>
    <x v="6"/>
    <x v="3"/>
    <n v="59039"/>
    <x v="154"/>
  </r>
  <r>
    <x v="2"/>
    <n v="202.9"/>
    <x v="6"/>
    <x v="3"/>
    <n v="59039"/>
    <x v="155"/>
  </r>
  <r>
    <x v="0"/>
    <n v="24.11"/>
    <x v="7"/>
    <x v="3"/>
    <n v="27438"/>
    <x v="156"/>
  </r>
  <r>
    <x v="1"/>
    <n v="44.05"/>
    <x v="7"/>
    <x v="3"/>
    <n v="27438"/>
    <x v="157"/>
  </r>
  <r>
    <x v="2"/>
    <n v="90.37"/>
    <x v="7"/>
    <x v="3"/>
    <n v="27438"/>
    <x v="158"/>
  </r>
  <r>
    <x v="0"/>
    <n v="64.97"/>
    <x v="8"/>
    <x v="3"/>
    <n v="82349"/>
    <x v="159"/>
  </r>
  <r>
    <x v="1"/>
    <n v="267.92"/>
    <x v="8"/>
    <x v="3"/>
    <n v="82349"/>
    <x v="160"/>
  </r>
  <r>
    <x v="2"/>
    <n v="429.69"/>
    <x v="8"/>
    <x v="3"/>
    <n v="82349"/>
    <x v="161"/>
  </r>
  <r>
    <x v="0"/>
    <n v="35.08"/>
    <x v="9"/>
    <x v="3"/>
    <n v="34436"/>
    <x v="162"/>
  </r>
  <r>
    <x v="1"/>
    <n v="79.81"/>
    <x v="9"/>
    <x v="3"/>
    <n v="34436"/>
    <x v="163"/>
  </r>
  <r>
    <x v="2"/>
    <n v="132.55000000000001"/>
    <x v="9"/>
    <x v="3"/>
    <n v="34436"/>
    <x v="164"/>
  </r>
  <r>
    <x v="0"/>
    <n v="16.03"/>
    <x v="10"/>
    <x v="3"/>
    <n v="31706"/>
    <x v="165"/>
  </r>
  <r>
    <x v="1"/>
    <n v="102.73"/>
    <x v="10"/>
    <x v="3"/>
    <n v="31706"/>
    <x v="166"/>
  </r>
  <r>
    <x v="2"/>
    <n v="179.31"/>
    <x v="10"/>
    <x v="3"/>
    <n v="31706"/>
    <x v="167"/>
  </r>
  <r>
    <x v="0"/>
    <n v="74.8"/>
    <x v="11"/>
    <x v="3"/>
    <n v="151377"/>
    <x v="168"/>
  </r>
  <r>
    <x v="1"/>
    <n v="492.79"/>
    <x v="11"/>
    <x v="3"/>
    <n v="151377"/>
    <x v="169"/>
  </r>
  <r>
    <x v="2"/>
    <n v="1230.48"/>
    <x v="11"/>
    <x v="3"/>
    <n v="151377"/>
    <x v="170"/>
  </r>
  <r>
    <x v="0"/>
    <n v="32.46"/>
    <x v="12"/>
    <x v="3"/>
    <n v="29944"/>
    <x v="171"/>
  </r>
  <r>
    <x v="1"/>
    <n v="72.650000000000006"/>
    <x v="12"/>
    <x v="3"/>
    <n v="29944"/>
    <x v="172"/>
  </r>
  <r>
    <x v="2"/>
    <n v="93.12"/>
    <x v="12"/>
    <x v="3"/>
    <n v="29944"/>
    <x v="173"/>
  </r>
  <r>
    <x v="0"/>
    <n v="74.92"/>
    <x v="13"/>
    <x v="3"/>
    <n v="47010"/>
    <x v="174"/>
  </r>
  <r>
    <x v="1"/>
    <n v="153.88"/>
    <x v="13"/>
    <x v="3"/>
    <n v="47010"/>
    <x v="175"/>
  </r>
  <r>
    <x v="2"/>
    <n v="187.32"/>
    <x v="13"/>
    <x v="3"/>
    <n v="47010"/>
    <x v="176"/>
  </r>
  <r>
    <x v="0"/>
    <n v="39.979999999999997"/>
    <x v="14"/>
    <x v="3"/>
    <n v="33172"/>
    <x v="177"/>
  </r>
  <r>
    <x v="1"/>
    <n v="96.83"/>
    <x v="14"/>
    <x v="3"/>
    <n v="33172"/>
    <x v="178"/>
  </r>
  <r>
    <x v="2"/>
    <n v="104.46"/>
    <x v="14"/>
    <x v="3"/>
    <n v="33172"/>
    <x v="179"/>
  </r>
  <r>
    <x v="0"/>
    <n v="52.72"/>
    <x v="0"/>
    <x v="4"/>
    <n v="576265"/>
    <x v="180"/>
  </r>
  <r>
    <x v="1"/>
    <n v="2766.84"/>
    <x v="0"/>
    <x v="4"/>
    <n v="576265"/>
    <x v="181"/>
  </r>
  <r>
    <x v="2"/>
    <n v="9498.34"/>
    <x v="0"/>
    <x v="4"/>
    <n v="576265"/>
    <x v="182"/>
  </r>
  <r>
    <x v="0"/>
    <n v="8.25"/>
    <x v="1"/>
    <x v="4"/>
    <n v="9348"/>
    <x v="183"/>
  </r>
  <r>
    <x v="1"/>
    <n v="29.99"/>
    <x v="1"/>
    <x v="4"/>
    <n v="9348"/>
    <x v="184"/>
  </r>
  <r>
    <x v="2"/>
    <n v="32.78"/>
    <x v="1"/>
    <x v="4"/>
    <n v="9348"/>
    <x v="185"/>
  </r>
  <r>
    <x v="0"/>
    <n v="10.55"/>
    <x v="2"/>
    <x v="4"/>
    <n v="146506"/>
    <x v="186"/>
  </r>
  <r>
    <x v="1"/>
    <n v="576.74"/>
    <x v="2"/>
    <x v="4"/>
    <n v="146506"/>
    <x v="187"/>
  </r>
  <r>
    <x v="2"/>
    <n v="480.48"/>
    <x v="2"/>
    <x v="4"/>
    <n v="146506"/>
    <x v="188"/>
  </r>
  <r>
    <x v="0"/>
    <n v="29.54"/>
    <x v="3"/>
    <x v="4"/>
    <n v="31298"/>
    <x v="189"/>
  </r>
  <r>
    <x v="1"/>
    <n v="69.599999999999994"/>
    <x v="3"/>
    <x v="4"/>
    <n v="31298"/>
    <x v="190"/>
  </r>
  <r>
    <x v="2"/>
    <n v="78.349999999999994"/>
    <x v="3"/>
    <x v="4"/>
    <n v="31298"/>
    <x v="191"/>
  </r>
  <r>
    <x v="0"/>
    <n v="20.92"/>
    <x v="4"/>
    <x v="4"/>
    <n v="30709"/>
    <x v="192"/>
  </r>
  <r>
    <x v="1"/>
    <n v="107.51"/>
    <x v="4"/>
    <x v="4"/>
    <n v="30709"/>
    <x v="193"/>
  </r>
  <r>
    <x v="2"/>
    <n v="109.29"/>
    <x v="4"/>
    <x v="4"/>
    <n v="30709"/>
    <x v="194"/>
  </r>
  <r>
    <x v="0"/>
    <n v="11.88"/>
    <x v="5"/>
    <x v="4"/>
    <n v="24580"/>
    <x v="195"/>
  </r>
  <r>
    <x v="1"/>
    <n v="56.02"/>
    <x v="5"/>
    <x v="4"/>
    <n v="24580"/>
    <x v="196"/>
  </r>
  <r>
    <x v="2"/>
    <n v="89.28"/>
    <x v="5"/>
    <x v="4"/>
    <n v="24580"/>
    <x v="197"/>
  </r>
  <r>
    <x v="0"/>
    <n v="40.4"/>
    <x v="6"/>
    <x v="4"/>
    <n v="59467"/>
    <x v="198"/>
  </r>
  <r>
    <x v="1"/>
    <n v="237.21"/>
    <x v="6"/>
    <x v="4"/>
    <n v="59467"/>
    <x v="199"/>
  </r>
  <r>
    <x v="2"/>
    <n v="209.44"/>
    <x v="6"/>
    <x v="4"/>
    <n v="59467"/>
    <x v="200"/>
  </r>
  <r>
    <x v="0"/>
    <n v="14.28"/>
    <x v="7"/>
    <x v="4"/>
    <n v="28218"/>
    <x v="201"/>
  </r>
  <r>
    <x v="1"/>
    <n v="38.619999999999997"/>
    <x v="7"/>
    <x v="4"/>
    <n v="28218"/>
    <x v="202"/>
  </r>
  <r>
    <x v="2"/>
    <n v="91.77"/>
    <x v="7"/>
    <x v="4"/>
    <n v="28218"/>
    <x v="203"/>
  </r>
  <r>
    <x v="0"/>
    <n v="56.55"/>
    <x v="8"/>
    <x v="4"/>
    <n v="82997"/>
    <x v="204"/>
  </r>
  <r>
    <x v="1"/>
    <n v="289.33999999999997"/>
    <x v="8"/>
    <x v="4"/>
    <n v="82997"/>
    <x v="205"/>
  </r>
  <r>
    <x v="2"/>
    <n v="461.99"/>
    <x v="8"/>
    <x v="4"/>
    <n v="82997"/>
    <x v="206"/>
  </r>
  <r>
    <x v="0"/>
    <n v="28.12"/>
    <x v="9"/>
    <x v="4"/>
    <n v="34148"/>
    <x v="207"/>
  </r>
  <r>
    <x v="1"/>
    <n v="82.08"/>
    <x v="9"/>
    <x v="4"/>
    <n v="34148"/>
    <x v="208"/>
  </r>
  <r>
    <x v="2"/>
    <n v="137.51"/>
    <x v="9"/>
    <x v="4"/>
    <n v="34148"/>
    <x v="209"/>
  </r>
  <r>
    <x v="0"/>
    <n v="11.45"/>
    <x v="10"/>
    <x v="4"/>
    <n v="33481"/>
    <x v="210"/>
  </r>
  <r>
    <x v="1"/>
    <n v="109.64"/>
    <x v="10"/>
    <x v="4"/>
    <n v="33481"/>
    <x v="211"/>
  </r>
  <r>
    <x v="2"/>
    <n v="249.98"/>
    <x v="10"/>
    <x v="4"/>
    <n v="33481"/>
    <x v="212"/>
  </r>
  <r>
    <x v="0"/>
    <n v="62.24"/>
    <x v="11"/>
    <x v="4"/>
    <n v="145003"/>
    <x v="213"/>
  </r>
  <r>
    <x v="1"/>
    <n v="528.22"/>
    <x v="11"/>
    <x v="4"/>
    <n v="145003"/>
    <x v="214"/>
  </r>
  <r>
    <x v="2"/>
    <n v="1357.13"/>
    <x v="11"/>
    <x v="4"/>
    <n v="145003"/>
    <x v="215"/>
  </r>
  <r>
    <x v="0"/>
    <n v="27.64"/>
    <x v="12"/>
    <x v="4"/>
    <n v="30524"/>
    <x v="216"/>
  </r>
  <r>
    <x v="1"/>
    <n v="85.45"/>
    <x v="12"/>
    <x v="4"/>
    <n v="30524"/>
    <x v="217"/>
  </r>
  <r>
    <x v="2"/>
    <n v="129.5"/>
    <x v="12"/>
    <x v="4"/>
    <n v="30524"/>
    <x v="218"/>
  </r>
  <r>
    <x v="0"/>
    <n v="60.43"/>
    <x v="13"/>
    <x v="4"/>
    <n v="47853"/>
    <x v="219"/>
  </r>
  <r>
    <x v="1"/>
    <n v="156.62"/>
    <x v="13"/>
    <x v="4"/>
    <n v="47853"/>
    <x v="220"/>
  </r>
  <r>
    <x v="2"/>
    <n v="195.16"/>
    <x v="13"/>
    <x v="4"/>
    <n v="47853"/>
    <x v="221"/>
  </r>
  <r>
    <x v="0"/>
    <n v="24.69"/>
    <x v="14"/>
    <x v="4"/>
    <n v="33973"/>
    <x v="222"/>
  </r>
  <r>
    <x v="1"/>
    <n v="95.96"/>
    <x v="14"/>
    <x v="4"/>
    <n v="33973"/>
    <x v="223"/>
  </r>
  <r>
    <x v="2"/>
    <n v="118.76"/>
    <x v="14"/>
    <x v="4"/>
    <n v="33973"/>
    <x v="224"/>
  </r>
  <r>
    <x v="0"/>
    <n v="45.93"/>
    <x v="0"/>
    <x v="5"/>
    <n v="582556"/>
    <x v="225"/>
  </r>
  <r>
    <x v="1"/>
    <n v="2920.59"/>
    <x v="0"/>
    <x v="5"/>
    <n v="582556"/>
    <x v="226"/>
  </r>
  <r>
    <x v="2"/>
    <n v="10518.19"/>
    <x v="0"/>
    <x v="5"/>
    <n v="582556"/>
    <x v="227"/>
  </r>
  <r>
    <x v="0"/>
    <n v="5.04"/>
    <x v="1"/>
    <x v="5"/>
    <n v="9335"/>
    <x v="228"/>
  </r>
  <r>
    <x v="1"/>
    <n v="26.04"/>
    <x v="1"/>
    <x v="5"/>
    <n v="9335"/>
    <x v="229"/>
  </r>
  <r>
    <x v="2"/>
    <n v="48.1"/>
    <x v="1"/>
    <x v="5"/>
    <n v="9335"/>
    <x v="230"/>
  </r>
  <r>
    <x v="0"/>
    <n v="16.22"/>
    <x v="2"/>
    <x v="5"/>
    <n v="143880"/>
    <x v="231"/>
  </r>
  <r>
    <x v="1"/>
    <n v="682.4"/>
    <x v="2"/>
    <x v="5"/>
    <n v="143880"/>
    <x v="232"/>
  </r>
  <r>
    <x v="2"/>
    <n v="492.99"/>
    <x v="2"/>
    <x v="5"/>
    <n v="143880"/>
    <x v="233"/>
  </r>
  <r>
    <x v="0"/>
    <n v="41.52"/>
    <x v="3"/>
    <x v="5"/>
    <n v="30840"/>
    <x v="234"/>
  </r>
  <r>
    <x v="1"/>
    <n v="77.63"/>
    <x v="3"/>
    <x v="5"/>
    <n v="30840"/>
    <x v="235"/>
  </r>
  <r>
    <x v="2"/>
    <n v="101.54"/>
    <x v="3"/>
    <x v="5"/>
    <n v="30840"/>
    <x v="236"/>
  </r>
  <r>
    <x v="0"/>
    <n v="36.53"/>
    <x v="4"/>
    <x v="5"/>
    <n v="30378"/>
    <x v="237"/>
  </r>
  <r>
    <x v="1"/>
    <n v="114.07"/>
    <x v="4"/>
    <x v="5"/>
    <n v="30378"/>
    <x v="238"/>
  </r>
  <r>
    <x v="2"/>
    <n v="119.89"/>
    <x v="4"/>
    <x v="5"/>
    <n v="30378"/>
    <x v="239"/>
  </r>
  <r>
    <x v="0"/>
    <n v="14.54"/>
    <x v="5"/>
    <x v="5"/>
    <n v="24301"/>
    <x v="240"/>
  </r>
  <r>
    <x v="1"/>
    <n v="60.36"/>
    <x v="5"/>
    <x v="5"/>
    <n v="24301"/>
    <x v="241"/>
  </r>
  <r>
    <x v="2"/>
    <n v="95.95"/>
    <x v="5"/>
    <x v="5"/>
    <n v="24301"/>
    <x v="242"/>
  </r>
  <r>
    <x v="0"/>
    <n v="49.83"/>
    <x v="6"/>
    <x v="5"/>
    <n v="58856"/>
    <x v="243"/>
  </r>
  <r>
    <x v="1"/>
    <n v="264.99"/>
    <x v="6"/>
    <x v="5"/>
    <n v="58856"/>
    <x v="244"/>
  </r>
  <r>
    <x v="2"/>
    <n v="230.36"/>
    <x v="6"/>
    <x v="5"/>
    <n v="58856"/>
    <x v="245"/>
  </r>
  <r>
    <x v="0"/>
    <n v="24.24"/>
    <x v="7"/>
    <x v="5"/>
    <n v="27963"/>
    <x v="246"/>
  </r>
  <r>
    <x v="1"/>
    <n v="45.52"/>
    <x v="7"/>
    <x v="5"/>
    <n v="27963"/>
    <x v="247"/>
  </r>
  <r>
    <x v="2"/>
    <n v="99.06"/>
    <x v="7"/>
    <x v="5"/>
    <n v="27963"/>
    <x v="248"/>
  </r>
  <r>
    <x v="0"/>
    <n v="65.510000000000005"/>
    <x v="8"/>
    <x v="5"/>
    <n v="82535"/>
    <x v="249"/>
  </r>
  <r>
    <x v="1"/>
    <n v="304.7"/>
    <x v="8"/>
    <x v="5"/>
    <n v="82535"/>
    <x v="250"/>
  </r>
  <r>
    <x v="2"/>
    <n v="481.29"/>
    <x v="8"/>
    <x v="5"/>
    <n v="82535"/>
    <x v="251"/>
  </r>
  <r>
    <x v="0"/>
    <n v="28.71"/>
    <x v="9"/>
    <x v="5"/>
    <n v="34085"/>
    <x v="252"/>
  </r>
  <r>
    <x v="1"/>
    <n v="98.22"/>
    <x v="9"/>
    <x v="5"/>
    <n v="34085"/>
    <x v="253"/>
  </r>
  <r>
    <x v="2"/>
    <n v="154.74"/>
    <x v="9"/>
    <x v="5"/>
    <n v="34085"/>
    <x v="254"/>
  </r>
  <r>
    <x v="0"/>
    <n v="15.38"/>
    <x v="10"/>
    <x v="5"/>
    <n v="33307"/>
    <x v="255"/>
  </r>
  <r>
    <x v="1"/>
    <n v="117.12"/>
    <x v="10"/>
    <x v="5"/>
    <n v="33307"/>
    <x v="256"/>
  </r>
  <r>
    <x v="2"/>
    <n v="213.24"/>
    <x v="10"/>
    <x v="5"/>
    <n v="33307"/>
    <x v="257"/>
  </r>
  <r>
    <x v="0"/>
    <n v="75.290000000000006"/>
    <x v="11"/>
    <x v="5"/>
    <n v="145550"/>
    <x v="258"/>
  </r>
  <r>
    <x v="1"/>
    <n v="568.41"/>
    <x v="11"/>
    <x v="5"/>
    <n v="145550"/>
    <x v="259"/>
  </r>
  <r>
    <x v="2"/>
    <n v="1495.26"/>
    <x v="11"/>
    <x v="5"/>
    <n v="145550"/>
    <x v="260"/>
  </r>
  <r>
    <x v="0"/>
    <n v="28.76"/>
    <x v="12"/>
    <x v="5"/>
    <n v="30084"/>
    <x v="261"/>
  </r>
  <r>
    <x v="1"/>
    <n v="85.66"/>
    <x v="12"/>
    <x v="5"/>
    <n v="30084"/>
    <x v="262"/>
  </r>
  <r>
    <x v="2"/>
    <n v="102.15"/>
    <x v="12"/>
    <x v="5"/>
    <n v="30084"/>
    <x v="263"/>
  </r>
  <r>
    <x v="0"/>
    <n v="89.02"/>
    <x v="13"/>
    <x v="5"/>
    <n v="47288"/>
    <x v="264"/>
  </r>
  <r>
    <x v="1"/>
    <n v="163.76"/>
    <x v="13"/>
    <x v="5"/>
    <n v="47288"/>
    <x v="265"/>
  </r>
  <r>
    <x v="2"/>
    <n v="218.53"/>
    <x v="13"/>
    <x v="5"/>
    <n v="47288"/>
    <x v="266"/>
  </r>
  <r>
    <x v="0"/>
    <n v="29.96"/>
    <x v="14"/>
    <x v="5"/>
    <n v="33505"/>
    <x v="267"/>
  </r>
  <r>
    <x v="1"/>
    <n v="104.77"/>
    <x v="14"/>
    <x v="5"/>
    <n v="33505"/>
    <x v="268"/>
  </r>
  <r>
    <x v="2"/>
    <n v="128.43"/>
    <x v="14"/>
    <x v="5"/>
    <n v="33505"/>
    <x v="269"/>
  </r>
  <r>
    <x v="0"/>
    <n v="67.209999999999994"/>
    <x v="0"/>
    <x v="6"/>
    <n v="589610"/>
    <x v="270"/>
  </r>
  <r>
    <x v="1"/>
    <n v="3091.34"/>
    <x v="0"/>
    <x v="6"/>
    <n v="589610"/>
    <x v="271"/>
  </r>
  <r>
    <x v="2"/>
    <n v="11489.15"/>
    <x v="0"/>
    <x v="6"/>
    <n v="589610"/>
    <x v="272"/>
  </r>
  <r>
    <x v="0"/>
    <n v="6.5"/>
    <x v="1"/>
    <x v="6"/>
    <n v="9387"/>
    <x v="273"/>
  </r>
  <r>
    <x v="1"/>
    <n v="32.69"/>
    <x v="1"/>
    <x v="6"/>
    <n v="9387"/>
    <x v="274"/>
  </r>
  <r>
    <x v="2"/>
    <n v="52.65"/>
    <x v="1"/>
    <x v="6"/>
    <n v="9387"/>
    <x v="275"/>
  </r>
  <r>
    <x v="0"/>
    <n v="12.95"/>
    <x v="2"/>
    <x v="6"/>
    <n v="138266"/>
    <x v="276"/>
  </r>
  <r>
    <x v="1"/>
    <n v="857.98"/>
    <x v="2"/>
    <x v="6"/>
    <n v="138266"/>
    <x v="277"/>
  </r>
  <r>
    <x v="2"/>
    <n v="534.74"/>
    <x v="2"/>
    <x v="6"/>
    <n v="138266"/>
    <x v="278"/>
  </r>
  <r>
    <x v="0"/>
    <n v="27.92"/>
    <x v="3"/>
    <x v="6"/>
    <n v="29119"/>
    <x v="279"/>
  </r>
  <r>
    <x v="1"/>
    <n v="68.41"/>
    <x v="3"/>
    <x v="6"/>
    <n v="29119"/>
    <x v="280"/>
  </r>
  <r>
    <x v="2"/>
    <n v="115.18"/>
    <x v="3"/>
    <x v="6"/>
    <n v="29119"/>
    <x v="281"/>
  </r>
  <r>
    <x v="0"/>
    <n v="27.53"/>
    <x v="4"/>
    <x v="6"/>
    <n v="30661"/>
    <x v="282"/>
  </r>
  <r>
    <x v="1"/>
    <n v="124.84"/>
    <x v="4"/>
    <x v="6"/>
    <n v="30661"/>
    <x v="283"/>
  </r>
  <r>
    <x v="2"/>
    <n v="140.87"/>
    <x v="4"/>
    <x v="6"/>
    <n v="30661"/>
    <x v="284"/>
  </r>
  <r>
    <x v="0"/>
    <n v="12.06"/>
    <x v="5"/>
    <x v="6"/>
    <n v="20646"/>
    <x v="285"/>
  </r>
  <r>
    <x v="1"/>
    <n v="54.73"/>
    <x v="5"/>
    <x v="6"/>
    <n v="20646"/>
    <x v="286"/>
  </r>
  <r>
    <x v="2"/>
    <n v="105.68"/>
    <x v="5"/>
    <x v="6"/>
    <n v="20646"/>
    <x v="287"/>
  </r>
  <r>
    <x v="0"/>
    <n v="35.61"/>
    <x v="6"/>
    <x v="6"/>
    <n v="59791"/>
    <x v="288"/>
  </r>
  <r>
    <x v="1"/>
    <n v="279.91000000000003"/>
    <x v="6"/>
    <x v="6"/>
    <n v="59791"/>
    <x v="289"/>
  </r>
  <r>
    <x v="2"/>
    <n v="241.76"/>
    <x v="6"/>
    <x v="6"/>
    <n v="59791"/>
    <x v="290"/>
  </r>
  <r>
    <x v="0"/>
    <n v="17.5"/>
    <x v="7"/>
    <x v="6"/>
    <n v="25290"/>
    <x v="291"/>
  </r>
  <r>
    <x v="1"/>
    <n v="40.770000000000003"/>
    <x v="7"/>
    <x v="6"/>
    <n v="25290"/>
    <x v="292"/>
  </r>
  <r>
    <x v="2"/>
    <n v="100.53"/>
    <x v="7"/>
    <x v="6"/>
    <n v="25290"/>
    <x v="293"/>
  </r>
  <r>
    <x v="0"/>
    <n v="58.97"/>
    <x v="8"/>
    <x v="6"/>
    <n v="85756"/>
    <x v="294"/>
  </r>
  <r>
    <x v="1"/>
    <n v="319.06"/>
    <x v="8"/>
    <x v="6"/>
    <n v="85756"/>
    <x v="295"/>
  </r>
  <r>
    <x v="2"/>
    <n v="564.70000000000005"/>
    <x v="8"/>
    <x v="6"/>
    <n v="85756"/>
    <x v="296"/>
  </r>
  <r>
    <x v="0"/>
    <n v="22.96"/>
    <x v="9"/>
    <x v="6"/>
    <n v="33299"/>
    <x v="297"/>
  </r>
  <r>
    <x v="1"/>
    <n v="119.2"/>
    <x v="9"/>
    <x v="6"/>
    <n v="33299"/>
    <x v="298"/>
  </r>
  <r>
    <x v="2"/>
    <n v="179.44"/>
    <x v="9"/>
    <x v="6"/>
    <n v="33299"/>
    <x v="299"/>
  </r>
  <r>
    <x v="0"/>
    <n v="13.97"/>
    <x v="10"/>
    <x v="6"/>
    <n v="33231"/>
    <x v="300"/>
  </r>
  <r>
    <x v="1"/>
    <n v="120.07"/>
    <x v="10"/>
    <x v="6"/>
    <n v="33231"/>
    <x v="301"/>
  </r>
  <r>
    <x v="2"/>
    <n v="242.51"/>
    <x v="10"/>
    <x v="6"/>
    <n v="33231"/>
    <x v="302"/>
  </r>
  <r>
    <x v="0"/>
    <n v="61.21"/>
    <x v="11"/>
    <x v="6"/>
    <n v="151122"/>
    <x v="303"/>
  </r>
  <r>
    <x v="1"/>
    <n v="636.96"/>
    <x v="11"/>
    <x v="6"/>
    <n v="151122"/>
    <x v="304"/>
  </r>
  <r>
    <x v="2"/>
    <n v="1658.45"/>
    <x v="11"/>
    <x v="6"/>
    <n v="151122"/>
    <x v="305"/>
  </r>
  <r>
    <x v="0"/>
    <n v="25.07"/>
    <x v="12"/>
    <x v="6"/>
    <n v="28669"/>
    <x v="306"/>
  </r>
  <r>
    <x v="1"/>
    <n v="93.48"/>
    <x v="12"/>
    <x v="6"/>
    <n v="28669"/>
    <x v="307"/>
  </r>
  <r>
    <x v="2"/>
    <n v="110.53"/>
    <x v="12"/>
    <x v="6"/>
    <n v="28669"/>
    <x v="308"/>
  </r>
  <r>
    <x v="0"/>
    <n v="75.5"/>
    <x v="13"/>
    <x v="6"/>
    <n v="46782"/>
    <x v="309"/>
  </r>
  <r>
    <x v="1"/>
    <n v="182.44"/>
    <x v="13"/>
    <x v="6"/>
    <n v="46782"/>
    <x v="310"/>
  </r>
  <r>
    <x v="2"/>
    <n v="253.39"/>
    <x v="13"/>
    <x v="6"/>
    <n v="46782"/>
    <x v="311"/>
  </r>
  <r>
    <x v="0"/>
    <n v="28.38"/>
    <x v="14"/>
    <x v="6"/>
    <n v="36133"/>
    <x v="312"/>
  </r>
  <r>
    <x v="1"/>
    <n v="115.81"/>
    <x v="14"/>
    <x v="6"/>
    <n v="36133"/>
    <x v="313"/>
  </r>
  <r>
    <x v="2"/>
    <n v="144.62"/>
    <x v="14"/>
    <x v="6"/>
    <n v="36133"/>
    <x v="314"/>
  </r>
  <r>
    <x v="0"/>
    <n v="82.15"/>
    <x v="0"/>
    <x v="7"/>
    <n v="598059"/>
    <x v="315"/>
  </r>
  <r>
    <x v="1"/>
    <n v="3113.63"/>
    <x v="0"/>
    <x v="7"/>
    <n v="598059"/>
    <x v="316"/>
  </r>
  <r>
    <x v="2"/>
    <n v="12710.72"/>
    <x v="0"/>
    <x v="7"/>
    <n v="598059"/>
    <x v="317"/>
  </r>
  <r>
    <x v="0"/>
    <n v="7.03"/>
    <x v="1"/>
    <x v="7"/>
    <n v="9387"/>
    <x v="318"/>
  </r>
  <r>
    <x v="1"/>
    <n v="33.4"/>
    <x v="1"/>
    <x v="7"/>
    <n v="9387"/>
    <x v="319"/>
  </r>
  <r>
    <x v="2"/>
    <n v="57.25"/>
    <x v="1"/>
    <x v="7"/>
    <n v="9387"/>
    <x v="320"/>
  </r>
  <r>
    <x v="0"/>
    <n v="17.329999999999998"/>
    <x v="2"/>
    <x v="7"/>
    <n v="136240"/>
    <x v="321"/>
  </r>
  <r>
    <x v="1"/>
    <n v="827.64"/>
    <x v="2"/>
    <x v="7"/>
    <n v="136240"/>
    <x v="322"/>
  </r>
  <r>
    <x v="2"/>
    <n v="578.05999999999995"/>
    <x v="2"/>
    <x v="7"/>
    <n v="136240"/>
    <x v="323"/>
  </r>
  <r>
    <x v="0"/>
    <n v="43.72"/>
    <x v="3"/>
    <x v="7"/>
    <n v="28734"/>
    <x v="324"/>
  </r>
  <r>
    <x v="1"/>
    <n v="70.69"/>
    <x v="3"/>
    <x v="7"/>
    <n v="28734"/>
    <x v="325"/>
  </r>
  <r>
    <x v="2"/>
    <n v="124.95"/>
    <x v="3"/>
    <x v="7"/>
    <n v="28734"/>
    <x v="326"/>
  </r>
  <r>
    <x v="0"/>
    <n v="41.88"/>
    <x v="4"/>
    <x v="7"/>
    <n v="30286"/>
    <x v="327"/>
  </r>
  <r>
    <x v="1"/>
    <n v="130.91999999999999"/>
    <x v="4"/>
    <x v="7"/>
    <n v="30286"/>
    <x v="328"/>
  </r>
  <r>
    <x v="2"/>
    <n v="154.16999999999999"/>
    <x v="4"/>
    <x v="7"/>
    <n v="30286"/>
    <x v="329"/>
  </r>
  <r>
    <x v="0"/>
    <n v="15.43"/>
    <x v="5"/>
    <x v="7"/>
    <n v="20507"/>
    <x v="330"/>
  </r>
  <r>
    <x v="1"/>
    <n v="55.89"/>
    <x v="5"/>
    <x v="7"/>
    <n v="20507"/>
    <x v="331"/>
  </r>
  <r>
    <x v="2"/>
    <n v="114.52"/>
    <x v="5"/>
    <x v="7"/>
    <n v="20507"/>
    <x v="332"/>
  </r>
  <r>
    <x v="0"/>
    <n v="63.96"/>
    <x v="6"/>
    <x v="7"/>
    <n v="59325"/>
    <x v="333"/>
  </r>
  <r>
    <x v="1"/>
    <n v="289.91000000000003"/>
    <x v="6"/>
    <x v="7"/>
    <n v="59325"/>
    <x v="334"/>
  </r>
  <r>
    <x v="2"/>
    <n v="260.18"/>
    <x v="6"/>
    <x v="7"/>
    <n v="59325"/>
    <x v="335"/>
  </r>
  <r>
    <x v="0"/>
    <n v="25.75"/>
    <x v="7"/>
    <x v="7"/>
    <n v="25006"/>
    <x v="336"/>
  </r>
  <r>
    <x v="1"/>
    <n v="42.65"/>
    <x v="7"/>
    <x v="7"/>
    <n v="25006"/>
    <x v="337"/>
  </r>
  <r>
    <x v="2"/>
    <n v="109.23"/>
    <x v="7"/>
    <x v="7"/>
    <n v="25006"/>
    <x v="338"/>
  </r>
  <r>
    <x v="0"/>
    <n v="86.55"/>
    <x v="8"/>
    <x v="7"/>
    <n v="85938"/>
    <x v="339"/>
  </r>
  <r>
    <x v="1"/>
    <n v="321.23"/>
    <x v="8"/>
    <x v="7"/>
    <n v="85938"/>
    <x v="340"/>
  </r>
  <r>
    <x v="2"/>
    <n v="608.97"/>
    <x v="8"/>
    <x v="7"/>
    <n v="85938"/>
    <x v="341"/>
  </r>
  <r>
    <x v="0"/>
    <n v="35.119999999999997"/>
    <x v="9"/>
    <x v="7"/>
    <n v="33311"/>
    <x v="342"/>
  </r>
  <r>
    <x v="1"/>
    <n v="124.96"/>
    <x v="9"/>
    <x v="7"/>
    <n v="33311"/>
    <x v="343"/>
  </r>
  <r>
    <x v="2"/>
    <n v="194.47"/>
    <x v="9"/>
    <x v="7"/>
    <n v="33311"/>
    <x v="344"/>
  </r>
  <r>
    <x v="0"/>
    <n v="21.31"/>
    <x v="10"/>
    <x v="7"/>
    <n v="33108"/>
    <x v="345"/>
  </r>
  <r>
    <x v="1"/>
    <n v="125.39"/>
    <x v="10"/>
    <x v="7"/>
    <n v="33108"/>
    <x v="346"/>
  </r>
  <r>
    <x v="2"/>
    <n v="259.76"/>
    <x v="10"/>
    <x v="7"/>
    <n v="33108"/>
    <x v="347"/>
  </r>
  <r>
    <x v="0"/>
    <n v="87.98"/>
    <x v="11"/>
    <x v="7"/>
    <n v="152977"/>
    <x v="348"/>
  </r>
  <r>
    <x v="1"/>
    <n v="649.16"/>
    <x v="11"/>
    <x v="7"/>
    <n v="152977"/>
    <x v="349"/>
  </r>
  <r>
    <x v="2"/>
    <n v="1840.54"/>
    <x v="11"/>
    <x v="7"/>
    <n v="152977"/>
    <x v="350"/>
  </r>
  <r>
    <x v="0"/>
    <n v="33.6"/>
    <x v="12"/>
    <x v="7"/>
    <n v="28370"/>
    <x v="351"/>
  </r>
  <r>
    <x v="1"/>
    <n v="99.12"/>
    <x v="12"/>
    <x v="7"/>
    <n v="28370"/>
    <x v="352"/>
  </r>
  <r>
    <x v="2"/>
    <n v="118.48"/>
    <x v="12"/>
    <x v="7"/>
    <n v="28370"/>
    <x v="353"/>
  </r>
  <r>
    <x v="0"/>
    <n v="101.2"/>
    <x v="13"/>
    <x v="7"/>
    <n v="46371"/>
    <x v="354"/>
  </r>
  <r>
    <x v="1"/>
    <n v="188.55"/>
    <x v="13"/>
    <x v="7"/>
    <n v="46371"/>
    <x v="355"/>
  </r>
  <r>
    <x v="2"/>
    <n v="277.06"/>
    <x v="13"/>
    <x v="7"/>
    <n v="46371"/>
    <x v="356"/>
  </r>
  <r>
    <x v="0"/>
    <n v="37.840000000000003"/>
    <x v="14"/>
    <x v="7"/>
    <n v="35782"/>
    <x v="357"/>
  </r>
  <r>
    <x v="1"/>
    <n v="122.38"/>
    <x v="14"/>
    <x v="7"/>
    <n v="35782"/>
    <x v="358"/>
  </r>
  <r>
    <x v="2"/>
    <n v="155.78"/>
    <x v="14"/>
    <x v="7"/>
    <n v="35782"/>
    <x v="3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B3EBD-4E16-4E21-AAE1-45E9E74A1044}" name="PivotTable2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C35:E51" firstHeaderRow="1" firstDataRow="3" firstDataCol="1"/>
  <pivotFields count="6">
    <pivotField axis="axisCol" showAll="0" defaultSubtotal="0">
      <items count="3">
        <item h="1" x="0"/>
        <item x="2"/>
        <item h="1" x="1"/>
      </items>
    </pivotField>
    <pivotField numFmtId="2" showAll="0"/>
    <pivotField dataField="1" showAll="0"/>
    <pivotField axis="axisCol" showAll="0">
      <items count="9">
        <item h="1" x="0"/>
        <item x="1"/>
        <item h="1" x="2"/>
        <item h="1" x="3"/>
        <item h="1" x="4"/>
        <item h="1" x="5"/>
        <item x="6"/>
        <item h="1" x="7"/>
        <item t="default"/>
      </items>
    </pivotField>
    <pivotField showAll="0"/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 count="1">
    <field x="5"/>
  </rowFields>
  <rowItems count="14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22"/>
    </i>
    <i>
      <x v="29"/>
    </i>
    <i>
      <x v="39"/>
    </i>
    <i t="grand">
      <x/>
    </i>
  </rowItems>
  <colFields count="2">
    <field x="0"/>
    <field x="3"/>
  </colFields>
  <colItems count="2">
    <i>
      <x v="1"/>
      <x v="1"/>
    </i>
    <i r="1">
      <x v="6"/>
    </i>
  </colItems>
  <dataFields count="1">
    <dataField name="Count of maakon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8DF10-F8F0-4910-93EF-BE7F8BB52451}" name="PivotTable2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O12:T21" firstHeaderRow="0" firstDataRow="1" firstDataCol="1"/>
  <pivotFields count="6">
    <pivotField axis="axisRow" showAll="0">
      <items count="4">
        <item x="0"/>
        <item h="1" x="2"/>
        <item h="1" x="1"/>
        <item t="default"/>
      </items>
    </pivotField>
    <pivotField dataField="1" numFmtId="2" showAll="0">
      <items count="356">
        <item x="226"/>
        <item x="269"/>
        <item x="313"/>
        <item x="93"/>
        <item x="181"/>
        <item x="3"/>
        <item x="137"/>
        <item x="48"/>
        <item x="184"/>
        <item x="208"/>
        <item x="193"/>
        <item x="280"/>
        <item x="272"/>
        <item x="140"/>
        <item x="96"/>
        <item x="295"/>
        <item x="199"/>
        <item x="237"/>
        <item x="51"/>
        <item x="60"/>
        <item x="105"/>
        <item x="252"/>
        <item x="325"/>
        <item x="149"/>
        <item x="164"/>
        <item x="229"/>
        <item x="120"/>
        <item x="15"/>
        <item x="316"/>
        <item x="30"/>
        <item x="286"/>
        <item x="75"/>
        <item x="6"/>
        <item x="190"/>
        <item x="4"/>
        <item x="94"/>
        <item x="340"/>
        <item x="49"/>
        <item x="66"/>
        <item x="42"/>
        <item x="292"/>
        <item x="155"/>
        <item x="243"/>
        <item x="138"/>
        <item x="220"/>
        <item x="36"/>
        <item x="301"/>
        <item x="72"/>
        <item x="111"/>
        <item x="331"/>
        <item x="227"/>
        <item x="27"/>
        <item x="95"/>
        <item x="278"/>
        <item x="214"/>
        <item x="50"/>
        <item x="5"/>
        <item x="275"/>
        <item x="205"/>
        <item x="307"/>
        <item x="249"/>
        <item x="258"/>
        <item x="81"/>
        <item x="187"/>
        <item x="139"/>
        <item x="263"/>
        <item x="182"/>
        <item x="21"/>
        <item x="87"/>
        <item x="270"/>
        <item x="183"/>
        <item x="125"/>
        <item x="131"/>
        <item x="314"/>
        <item x="146"/>
        <item x="346"/>
        <item x="161"/>
        <item x="337"/>
        <item x="283"/>
        <item x="57"/>
        <item x="102"/>
        <item x="12"/>
        <item x="352"/>
        <item x="200"/>
        <item x="117"/>
        <item x="175"/>
        <item x="196"/>
        <item x="287"/>
        <item x="232"/>
        <item x="322"/>
        <item x="332"/>
        <item x="143"/>
        <item x="112"/>
        <item x="319"/>
        <item x="156"/>
        <item x="244"/>
        <item x="223"/>
        <item x="54"/>
        <item x="67"/>
        <item x="9"/>
        <item x="228"/>
        <item x="22"/>
        <item x="99"/>
        <item x="240"/>
        <item x="150"/>
        <item x="10"/>
        <item x="271"/>
        <item x="178"/>
        <item x="106"/>
        <item x="281"/>
        <item x="134"/>
        <item x="326"/>
        <item x="194"/>
        <item x="202"/>
        <item x="315"/>
        <item x="152"/>
        <item x="39"/>
        <item x="24"/>
        <item x="63"/>
        <item x="289"/>
        <item x="100"/>
        <item x="61"/>
        <item x="18"/>
        <item x="238"/>
        <item x="217"/>
        <item x="69"/>
        <item x="298"/>
        <item x="16"/>
        <item x="144"/>
        <item x="211"/>
        <item x="55"/>
        <item x="108"/>
        <item x="328"/>
        <item x="158"/>
        <item x="84"/>
        <item x="246"/>
        <item x="37"/>
        <item x="28"/>
        <item x="23"/>
        <item x="114"/>
        <item x="266"/>
        <item x="276"/>
        <item x="33"/>
        <item x="82"/>
        <item x="188"/>
        <item x="118"/>
        <item x="320"/>
        <item x="73"/>
        <item x="101"/>
        <item x="126"/>
        <item x="170"/>
        <item x="78"/>
        <item x="167"/>
        <item x="172"/>
        <item x="11"/>
        <item x="255"/>
        <item x="56"/>
        <item x="304"/>
        <item x="45"/>
        <item x="233"/>
        <item x="189"/>
        <item x="38"/>
        <item x="90"/>
        <item x="162"/>
        <item x="128"/>
        <item x="145"/>
        <item x="43"/>
        <item x="68"/>
        <item x="113"/>
        <item x="206"/>
        <item x="310"/>
        <item x="83"/>
        <item x="215"/>
        <item x="259"/>
        <item x="334"/>
        <item x="127"/>
        <item x="88"/>
        <item x="343"/>
        <item x="260"/>
        <item x="195"/>
        <item x="147"/>
        <item x="132"/>
        <item x="157"/>
        <item x="103"/>
        <item x="17"/>
        <item x="201"/>
        <item x="151"/>
        <item x="58"/>
        <item x="171"/>
        <item x="302"/>
        <item x="62"/>
        <item x="107"/>
        <item x="239"/>
        <item x="221"/>
        <item x="29"/>
        <item x="176"/>
        <item x="250"/>
        <item x="0"/>
        <item x="245"/>
        <item x="347"/>
        <item x="13"/>
        <item x="76"/>
        <item x="288"/>
        <item x="349"/>
        <item x="59"/>
        <item x="234"/>
        <item x="14"/>
        <item x="165"/>
        <item x="121"/>
        <item x="104"/>
        <item x="148"/>
        <item x="177"/>
        <item x="264"/>
        <item x="282"/>
        <item x="133"/>
        <item x="191"/>
        <item x="31"/>
        <item x="333"/>
        <item x="192"/>
        <item x="209"/>
        <item x="89"/>
        <item x="303"/>
        <item x="44"/>
        <item x="235"/>
        <item x="327"/>
        <item x="277"/>
        <item x="308"/>
        <item x="253"/>
        <item x="348"/>
        <item x="222"/>
        <item x="293"/>
        <item x="236"/>
        <item x="296"/>
        <item x="353"/>
        <item x="74"/>
        <item x="321"/>
        <item x="338"/>
        <item x="119"/>
        <item x="341"/>
        <item x="265"/>
        <item x="216"/>
        <item x="323"/>
        <item x="163"/>
        <item x="40"/>
        <item x="85"/>
        <item x="207"/>
        <item x="279"/>
        <item x="309"/>
        <item x="129"/>
        <item x="32"/>
        <item x="173"/>
        <item x="324"/>
        <item x="251"/>
        <item x="354"/>
        <item x="218"/>
        <item x="77"/>
        <item x="122"/>
        <item x="41"/>
        <item x="261"/>
        <item x="166"/>
        <item x="294"/>
        <item x="305"/>
        <item x="130"/>
        <item x="174"/>
        <item x="350"/>
        <item x="110"/>
        <item x="86"/>
        <item x="339"/>
        <item x="65"/>
        <item x="219"/>
        <item x="64"/>
        <item x="154"/>
        <item x="198"/>
        <item x="19"/>
        <item x="254"/>
        <item x="153"/>
        <item x="262"/>
        <item x="20"/>
        <item x="109"/>
        <item x="242"/>
        <item x="25"/>
        <item x="197"/>
        <item x="115"/>
        <item x="285"/>
        <item x="70"/>
        <item x="297"/>
        <item x="210"/>
        <item x="306"/>
        <item x="342"/>
        <item x="330"/>
        <item x="241"/>
        <item x="159"/>
        <item x="351"/>
        <item x="284"/>
        <item x="203"/>
        <item x="329"/>
        <item x="247"/>
        <item x="290"/>
        <item x="335"/>
        <item x="71"/>
        <item x="26"/>
        <item x="116"/>
        <item x="34"/>
        <item x="160"/>
        <item x="79"/>
        <item x="53"/>
        <item x="204"/>
        <item x="98"/>
        <item x="123"/>
        <item x="8"/>
        <item x="142"/>
        <item x="186"/>
        <item x="248"/>
        <item x="168"/>
        <item x="231"/>
        <item x="212"/>
        <item x="274"/>
        <item x="291"/>
        <item x="256"/>
        <item x="185"/>
        <item x="318"/>
        <item x="336"/>
        <item x="141"/>
        <item x="299"/>
        <item x="344"/>
        <item x="7"/>
        <item x="230"/>
        <item x="97"/>
        <item x="52"/>
        <item x="317"/>
        <item x="273"/>
        <item x="35"/>
        <item x="80"/>
        <item x="124"/>
        <item x="169"/>
        <item x="213"/>
        <item x="257"/>
        <item x="300"/>
        <item x="345"/>
        <item x="1"/>
        <item x="46"/>
        <item x="91"/>
        <item x="135"/>
        <item x="179"/>
        <item x="224"/>
        <item x="267"/>
        <item x="311"/>
        <item x="2"/>
        <item x="47"/>
        <item x="92"/>
        <item x="136"/>
        <item x="180"/>
        <item x="225"/>
        <item x="268"/>
        <item x="312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 count="2">
    <field x="0"/>
    <field x="3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Väärtus jooksevhindades, miljonit eurot" fld="1" baseField="0" baseItem="0" numFmtId="2"/>
    <dataField name="kõikide aastate kogusummast protsentuaalselt" fld="5" showDataAs="percentOfTotal" baseField="0" baseItem="0" numFmtId="10"/>
    <dataField name="järjestatud suuremast väiksemani" fld="5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protsentuaalne erinevus suurimast" fld="5" showDataAs="percentDiff" baseField="3" baseItem="7" numFmtId="10"/>
    <dataField name="protsentuaalne erinevus väikseimast" fld="5" showDataAs="percentDiff" baseField="3" baseItem="4" numFmtId="10"/>
  </dataFields>
  <formats count="5"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outline="0" fieldPosition="0">
        <references count="1">
          <reference field="4294967294" count="1">
            <x v="3"/>
          </reference>
        </references>
      </pivotArea>
    </format>
    <format dxfId="16">
      <pivotArea outline="0" fieldPosition="0">
        <references count="1">
          <reference field="4294967294" count="1">
            <x v="4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1B8D4-E119-4BA0-BF83-0898AD418EB0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2:M30" firstHeaderRow="1" firstDataRow="3" firstDataCol="1"/>
  <pivotFields count="6">
    <pivotField axis="axisCol" showAll="0">
      <items count="4">
        <item x="0"/>
        <item x="2"/>
        <item x="1"/>
        <item t="default"/>
      </items>
    </pivotField>
    <pivotField numFmtId="2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 defaultSubtotal="0">
      <items count="8">
        <item h="1" x="0"/>
        <item h="1" x="1"/>
        <item x="2"/>
        <item x="3"/>
        <item x="4"/>
        <item h="1" x="5"/>
        <item h="1" x="6"/>
        <item h="1" x="7"/>
      </items>
    </pivotField>
    <pivotField showAll="0"/>
    <pivotField dataField="1" showAll="0">
      <items count="361">
        <item x="186"/>
        <item x="225"/>
        <item x="180"/>
        <item x="96"/>
        <item x="141"/>
        <item x="276"/>
        <item x="135"/>
        <item x="51"/>
        <item x="231"/>
        <item x="270"/>
        <item x="6"/>
        <item x="321"/>
        <item x="45"/>
        <item x="315"/>
        <item x="90"/>
        <item x="0"/>
        <item x="210"/>
        <item x="303"/>
        <item x="300"/>
        <item x="213"/>
        <item x="33"/>
        <item x="255"/>
        <item x="78"/>
        <item x="195"/>
        <item x="168"/>
        <item x="123"/>
        <item x="165"/>
        <item x="201"/>
        <item x="258"/>
        <item x="120"/>
        <item x="228"/>
        <item x="30"/>
        <item x="75"/>
        <item x="348"/>
        <item x="285"/>
        <item x="288"/>
        <item x="240"/>
        <item x="60"/>
        <item x="105"/>
        <item x="42"/>
        <item x="345"/>
        <item x="150"/>
        <item x="198"/>
        <item x="192"/>
        <item x="204"/>
        <item x="294"/>
        <item x="297"/>
        <item x="291"/>
        <item x="273"/>
        <item x="24"/>
        <item x="15"/>
        <item x="222"/>
        <item x="69"/>
        <item x="72"/>
        <item x="27"/>
        <item x="318"/>
        <item x="330"/>
        <item x="66"/>
        <item x="312"/>
        <item x="159"/>
        <item x="249"/>
        <item x="114"/>
        <item x="36"/>
        <item x="207"/>
        <item x="252"/>
        <item x="243"/>
        <item x="246"/>
        <item x="306"/>
        <item x="156"/>
        <item x="183"/>
        <item x="267"/>
        <item x="282"/>
        <item x="216"/>
        <item x="93"/>
        <item x="111"/>
        <item x="189"/>
        <item x="261"/>
        <item x="279"/>
        <item x="81"/>
        <item x="87"/>
        <item x="63"/>
        <item x="153"/>
        <item x="18"/>
        <item x="132"/>
        <item x="3"/>
        <item x="339"/>
        <item x="138"/>
        <item x="162"/>
        <item x="336"/>
        <item x="342"/>
        <item x="108"/>
        <item x="357"/>
        <item x="21"/>
        <item x="333"/>
        <item x="171"/>
        <item x="126"/>
        <item x="147"/>
        <item x="117"/>
        <item x="48"/>
        <item x="57"/>
        <item x="351"/>
        <item x="39"/>
        <item x="12"/>
        <item x="237"/>
        <item x="102"/>
        <item x="177"/>
        <item x="219"/>
        <item x="234"/>
        <item x="84"/>
        <item x="202"/>
        <item x="327"/>
        <item x="144"/>
        <item x="54"/>
        <item x="9"/>
        <item x="324"/>
        <item x="99"/>
        <item x="112"/>
        <item x="174"/>
        <item x="157"/>
        <item x="292"/>
        <item x="309"/>
        <item x="247"/>
        <item x="10"/>
        <item x="67"/>
        <item x="129"/>
        <item x="337"/>
        <item x="22"/>
        <item x="28"/>
        <item x="264"/>
        <item x="100"/>
        <item x="55"/>
        <item x="145"/>
        <item x="118"/>
        <item x="73"/>
        <item x="151"/>
        <item x="37"/>
        <item x="106"/>
        <item x="354"/>
        <item x="190"/>
        <item x="82"/>
        <item x="196"/>
        <item x="101"/>
        <item x="163"/>
        <item x="280"/>
        <item x="23"/>
        <item x="11"/>
        <item x="43"/>
        <item x="127"/>
        <item x="56"/>
        <item x="208"/>
        <item x="61"/>
        <item x="172"/>
        <item x="4"/>
        <item x="325"/>
        <item x="49"/>
        <item x="94"/>
        <item x="16"/>
        <item x="241"/>
        <item x="191"/>
        <item x="235"/>
        <item x="38"/>
        <item x="88"/>
        <item x="146"/>
        <item x="286"/>
        <item x="34"/>
        <item x="133"/>
        <item x="83"/>
        <item x="29"/>
        <item x="331"/>
        <item x="40"/>
        <item x="25"/>
        <item x="85"/>
        <item x="229"/>
        <item x="217"/>
        <item x="79"/>
        <item x="223"/>
        <item x="262"/>
        <item x="139"/>
        <item x="253"/>
        <item x="128"/>
        <item x="70"/>
        <item x="115"/>
        <item x="178"/>
        <item x="68"/>
        <item x="113"/>
        <item x="53"/>
        <item x="148"/>
        <item x="103"/>
        <item x="58"/>
        <item x="130"/>
        <item x="8"/>
        <item x="124"/>
        <item x="173"/>
        <item x="268"/>
        <item x="98"/>
        <item x="76"/>
        <item x="95"/>
        <item x="179"/>
        <item x="110"/>
        <item x="13"/>
        <item x="134"/>
        <item x="313"/>
        <item x="184"/>
        <item x="50"/>
        <item x="65"/>
        <item x="5"/>
        <item x="121"/>
        <item x="166"/>
        <item x="143"/>
        <item x="89"/>
        <item x="203"/>
        <item x="160"/>
        <item x="169"/>
        <item x="44"/>
        <item x="307"/>
        <item x="220"/>
        <item x="175"/>
        <item x="14"/>
        <item x="59"/>
        <item x="211"/>
        <item x="188"/>
        <item x="236"/>
        <item x="158"/>
        <item x="41"/>
        <item x="64"/>
        <item x="263"/>
        <item x="31"/>
        <item x="358"/>
        <item x="233"/>
        <item x="104"/>
        <item x="155"/>
        <item x="19"/>
        <item x="265"/>
        <item x="149"/>
        <item x="274"/>
        <item x="205"/>
        <item x="140"/>
        <item x="352"/>
        <item x="224"/>
        <item x="193"/>
        <item x="185"/>
        <item x="256"/>
        <item x="200"/>
        <item x="248"/>
        <item x="319"/>
        <item x="194"/>
        <item x="74"/>
        <item x="298"/>
        <item x="20"/>
        <item x="119"/>
        <item x="301"/>
        <item x="197"/>
        <item x="214"/>
        <item x="154"/>
        <item x="17"/>
        <item x="250"/>
        <item x="295"/>
        <item x="340"/>
        <item x="343"/>
        <item x="238"/>
        <item x="109"/>
        <item x="346"/>
        <item x="269"/>
        <item x="62"/>
        <item x="164"/>
        <item x="152"/>
        <item x="308"/>
        <item x="278"/>
        <item x="107"/>
        <item x="310"/>
        <item x="259"/>
        <item x="245"/>
        <item x="187"/>
        <item x="131"/>
        <item x="239"/>
        <item x="242"/>
        <item x="281"/>
        <item x="293"/>
        <item x="176"/>
        <item x="199"/>
        <item x="86"/>
        <item x="314"/>
        <item x="209"/>
        <item x="1"/>
        <item x="290"/>
        <item x="355"/>
        <item x="283"/>
        <item x="221"/>
        <item x="46"/>
        <item x="353"/>
        <item x="142"/>
        <item x="304"/>
        <item x="7"/>
        <item x="218"/>
        <item x="323"/>
        <item x="349"/>
        <item x="328"/>
        <item x="326"/>
        <item x="359"/>
        <item x="338"/>
        <item x="335"/>
        <item x="91"/>
        <item x="136"/>
        <item x="244"/>
        <item x="254"/>
        <item x="26"/>
        <item x="71"/>
        <item x="284"/>
        <item x="32"/>
        <item x="266"/>
        <item x="289"/>
        <item x="232"/>
        <item x="116"/>
        <item x="181"/>
        <item x="334"/>
        <item x="77"/>
        <item x="226"/>
        <item x="97"/>
        <item x="122"/>
        <item x="329"/>
        <item x="287"/>
        <item x="230"/>
        <item x="316"/>
        <item x="161"/>
        <item x="271"/>
        <item x="52"/>
        <item x="299"/>
        <item x="311"/>
        <item x="206"/>
        <item x="332"/>
        <item x="275"/>
        <item x="167"/>
        <item x="251"/>
        <item x="344"/>
        <item x="356"/>
        <item x="322"/>
        <item x="320"/>
        <item x="277"/>
        <item x="257"/>
        <item x="296"/>
        <item x="35"/>
        <item x="341"/>
        <item x="80"/>
        <item x="302"/>
        <item x="212"/>
        <item x="125"/>
        <item x="347"/>
        <item x="170"/>
        <item x="215"/>
        <item x="260"/>
        <item x="305"/>
        <item x="350"/>
        <item x="2"/>
        <item x="47"/>
        <item x="92"/>
        <item x="137"/>
        <item x="182"/>
        <item x="227"/>
        <item x="272"/>
        <item x="317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3"/>
    <field x="0"/>
  </colFields>
  <colItems count="10"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 t="grand">
      <x/>
    </i>
  </colItems>
  <dataFields count="1">
    <dataField name="Average of majandusnäitajad el. kohta" fld="5" subtotal="average" baseField="2" baseItem="0"/>
  </dataFields>
  <formats count="6">
    <format dxfId="24">
      <pivotArea type="origin" dataOnly="0" labelOnly="1" outline="0" fieldPosition="0"/>
    </format>
    <format dxfId="23">
      <pivotArea dataOnly="0" outline="0" fieldPosition="0">
        <references count="1">
          <reference field="0" count="1">
            <x v="2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fieldPosition="0">
        <references count="2">
          <reference field="0" count="1">
            <x v="0"/>
          </reference>
          <reference field="3" count="1" selected="0">
            <x v="2"/>
          </reference>
        </references>
      </pivotArea>
    </format>
    <format dxfId="20">
      <pivotArea field="2" grandCol="1" collapsedLevelsAreSubtotals="1" axis="axisRow" fieldPosition="0">
        <references count="1">
          <reference field="2" count="0"/>
        </references>
      </pivotArea>
    </format>
    <format dxfId="19">
      <pivotArea dataOnly="0" labelOnly="1" fieldPosition="0">
        <references count="2">
          <reference field="0" count="1">
            <x v="0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7E114-435B-4A90-BB79-86A255F8F66A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13:U29" firstHeaderRow="1" firstDataRow="2" firstDataCol="1" rowPageCount="1" colPageCount="1"/>
  <pivotFields count="6">
    <pivotField axis="axisPage" multipleItemSelectionAllowed="1" showAll="0">
      <items count="4">
        <item h="1" x="0"/>
        <item x="2"/>
        <item h="1" x="1"/>
        <item t="default"/>
      </items>
    </pivotField>
    <pivotField numFmtId="2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0" hier="-1"/>
  </pageFields>
  <dataFields count="1">
    <dataField name="Sum of majandusnäitajad el. kohta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A40AD-4A38-4E1A-9DF9-8C4C9E1BC0A2}" name="Table1" displayName="Table1" ref="C16:G22" totalsRowCount="1" headerRowDxfId="13" headerRowBorderDxfId="12" tableBorderDxfId="11" totalsRowBorderDxfId="10">
  <tableColumns count="5">
    <tableColumn id="1" xr3:uid="{EA241EBE-2CBE-42FC-8527-B7503EACCE1E}" name="töötaja" totalsRowLabel="Total" dataDxfId="9" totalsRowDxfId="8"/>
    <tableColumn id="2" xr3:uid="{C983AC0E-0452-45D9-B9B5-B8D64B9C124D}" name="kuupäev" totalsRowFunction="count" dataDxfId="7" totalsRowDxfId="6"/>
    <tableColumn id="3" xr3:uid="{8F179597-2315-4F6E-920D-DB4CC391E65E}" name="amet" totalsRowFunction="count" dataDxfId="5" totalsRowDxfId="4">
      <calculatedColumnFormula>INDEX(töötajate_tabel,MATCH($C17,Töötajad!$A$2:$A$100,0),MATCH(Töötajad!$D$1,Töötajad!$A$1:$E$1,0))</calculatedColumnFormula>
    </tableColumn>
    <tableColumn id="4" xr3:uid="{C749878B-93C1-425F-A531-E9D41B804A05}" name="isikukood" totalsRowFunction="count" dataDxfId="3" totalsRowDxfId="2">
      <calculatedColumnFormula>INDEX(töötajate_tabel,MATCH($C17,Töötajad!$A$2:$A$100,0),MATCH(Töötajad!$B$1,Töötajad!$A$1:$E$1,0))</calculatedColumnFormula>
    </tableColumn>
    <tableColumn id="5" xr3:uid="{22781E0E-9291-4678-A2DB-6ABBC3671C02}" name="komandeeringutasu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4482F0-2029-4DD1-A03E-3BADC59CAE88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470ad6df-4727-42d0-8440-f0b8a155b70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889C-4077-47A9-9E10-F7B230E2EB72}">
  <dimension ref="A1:R50"/>
  <sheetViews>
    <sheetView zoomScale="87" zoomScaleNormal="100" workbookViewId="0">
      <selection activeCell="C3" sqref="C3"/>
    </sheetView>
  </sheetViews>
  <sheetFormatPr defaultRowHeight="14.4" x14ac:dyDescent="0.3"/>
  <cols>
    <col min="1" max="1" width="12.21875" customWidth="1"/>
    <col min="2" max="2" width="18.5546875" bestFit="1" customWidth="1"/>
    <col min="3" max="3" width="15.88671875" customWidth="1"/>
    <col min="4" max="4" width="10.109375" bestFit="1" customWidth="1"/>
    <col min="5" max="5" width="11.33203125" bestFit="1" customWidth="1"/>
    <col min="6" max="6" width="20.33203125" bestFit="1" customWidth="1"/>
    <col min="7" max="7" width="18.109375" bestFit="1" customWidth="1"/>
    <col min="9" max="9" width="13.21875" customWidth="1"/>
    <col min="13" max="13" width="10.109375" bestFit="1" customWidth="1"/>
    <col min="18" max="18" width="10.109375" bestFit="1" customWidth="1"/>
  </cols>
  <sheetData>
    <row r="1" spans="1:10" ht="14.4" customHeight="1" x14ac:dyDescent="0.3">
      <c r="A1" s="65" t="s">
        <v>350</v>
      </c>
      <c r="B1" s="65" t="s">
        <v>363</v>
      </c>
      <c r="D1" s="141" t="s">
        <v>370</v>
      </c>
      <c r="E1" s="142"/>
      <c r="F1" s="142"/>
      <c r="G1" s="142"/>
      <c r="H1" s="142"/>
      <c r="I1" s="142"/>
      <c r="J1" s="143"/>
    </row>
    <row r="2" spans="1:10" ht="47.4" customHeight="1" thickBot="1" x14ac:dyDescent="0.35">
      <c r="A2" s="112" t="s">
        <v>417</v>
      </c>
      <c r="B2" s="113" t="s">
        <v>369</v>
      </c>
      <c r="D2" s="144"/>
      <c r="E2" s="145"/>
      <c r="F2" s="145"/>
      <c r="G2" s="145"/>
      <c r="H2" s="145"/>
      <c r="I2" s="145"/>
      <c r="J2" s="146"/>
    </row>
    <row r="3" spans="1:10" ht="14.4" customHeight="1" x14ac:dyDescent="0.3">
      <c r="D3" s="144"/>
      <c r="E3" s="145"/>
      <c r="F3" s="145"/>
      <c r="G3" s="145"/>
      <c r="H3" s="145"/>
      <c r="I3" s="145"/>
      <c r="J3" s="146"/>
    </row>
    <row r="4" spans="1:10" ht="15" customHeight="1" x14ac:dyDescent="0.3">
      <c r="D4" s="144"/>
      <c r="E4" s="145"/>
      <c r="F4" s="145"/>
      <c r="G4" s="145"/>
      <c r="H4" s="145"/>
      <c r="I4" s="145"/>
      <c r="J4" s="146"/>
    </row>
    <row r="5" spans="1:10" x14ac:dyDescent="0.3">
      <c r="D5" s="144"/>
      <c r="E5" s="145"/>
      <c r="F5" s="145"/>
      <c r="G5" s="145"/>
      <c r="H5" s="145"/>
      <c r="I5" s="145"/>
      <c r="J5" s="146"/>
    </row>
    <row r="6" spans="1:10" x14ac:dyDescent="0.3">
      <c r="D6" s="144"/>
      <c r="E6" s="145"/>
      <c r="F6" s="145"/>
      <c r="G6" s="145"/>
      <c r="H6" s="145"/>
      <c r="I6" s="145"/>
      <c r="J6" s="146"/>
    </row>
    <row r="7" spans="1:10" x14ac:dyDescent="0.3">
      <c r="A7" s="63"/>
      <c r="D7" s="144"/>
      <c r="E7" s="145"/>
      <c r="F7" s="145"/>
      <c r="G7" s="145"/>
      <c r="H7" s="145"/>
      <c r="I7" s="145"/>
      <c r="J7" s="146"/>
    </row>
    <row r="8" spans="1:10" ht="15" thickBot="1" x14ac:dyDescent="0.35">
      <c r="D8" s="147"/>
      <c r="E8" s="148"/>
      <c r="F8" s="148"/>
      <c r="G8" s="148"/>
      <c r="H8" s="148"/>
      <c r="I8" s="148"/>
      <c r="J8" s="149"/>
    </row>
    <row r="12" spans="1:10" x14ac:dyDescent="0.3">
      <c r="I12" s="1"/>
    </row>
    <row r="13" spans="1:10" x14ac:dyDescent="0.3">
      <c r="I13" s="1"/>
    </row>
    <row r="14" spans="1:10" ht="15" thickBot="1" x14ac:dyDescent="0.35">
      <c r="I14" s="1"/>
    </row>
    <row r="15" spans="1:10" ht="15" thickBot="1" x14ac:dyDescent="0.35">
      <c r="C15" s="138" t="s">
        <v>368</v>
      </c>
      <c r="D15" s="139"/>
      <c r="E15" s="139"/>
      <c r="F15" s="139"/>
      <c r="G15" s="140"/>
      <c r="I15" s="1"/>
    </row>
    <row r="16" spans="1:10" x14ac:dyDescent="0.3">
      <c r="C16" s="2" t="s">
        <v>351</v>
      </c>
      <c r="D16" s="3" t="s">
        <v>0</v>
      </c>
      <c r="E16" s="3" t="s">
        <v>1</v>
      </c>
      <c r="F16" s="3" t="s">
        <v>2</v>
      </c>
      <c r="G16" s="4" t="s">
        <v>3</v>
      </c>
      <c r="I16" s="1"/>
    </row>
    <row r="17" spans="3:18" x14ac:dyDescent="0.3">
      <c r="C17" s="5" t="s">
        <v>26</v>
      </c>
      <c r="D17" s="6">
        <v>46260</v>
      </c>
      <c r="E17" s="7" t="str">
        <f>INDEX(töötajate_tabel,MATCH($C17,Töötajad!$A$2:$A$100,0),MATCH(Töötajad!$D$1,Töötajad!$A$1:$E$1,0))</f>
        <v>koristaja</v>
      </c>
      <c r="F17" s="7" t="str">
        <f>INDEX(töötajate_tabel,MATCH($C17,Töötajad!$A$2:$A$100,0),MATCH(Töötajad!$B$1,Töötajad!$A$1:$E$1,0))</f>
        <v>46309091292</v>
      </c>
      <c r="G17" s="66">
        <v>1</v>
      </c>
      <c r="I17" s="1"/>
    </row>
    <row r="18" spans="3:18" x14ac:dyDescent="0.3">
      <c r="C18" s="5" t="s">
        <v>214</v>
      </c>
      <c r="D18" s="6">
        <v>46261</v>
      </c>
      <c r="E18" s="7" t="str">
        <f>INDEX(töötajate_tabel,MATCH($C18,Töötajad!$A$2:$A$100,0),MATCH(Töötajad!$D$1,Töötajad!$A$1:$E$1,0))</f>
        <v>tööline</v>
      </c>
      <c r="F18" s="7" t="str">
        <f>INDEX(töötajate_tabel,MATCH($C18,Töötajad!$A$2:$A$100,0),MATCH(Töötajad!$B$1,Töötajad!$A$1:$E$1,0))</f>
        <v>50209191696</v>
      </c>
      <c r="G18" s="66">
        <v>1</v>
      </c>
    </row>
    <row r="19" spans="3:18" x14ac:dyDescent="0.3">
      <c r="C19" s="5" t="s">
        <v>4</v>
      </c>
      <c r="D19" s="6">
        <v>46262</v>
      </c>
      <c r="E19" s="7" t="str">
        <f>INDEX(töötajate_tabel,MATCH($C19,Töötajad!$A$2:$A$100,0),MATCH(Töötajad!$D$1,Töötajad!$A$1:$E$1,0))</f>
        <v>tööline</v>
      </c>
      <c r="F19" s="7" t="str">
        <f>INDEX(töötajate_tabel,MATCH($C19,Töötajad!$A$2:$A$100,0),MATCH(Töötajad!$B$1,Töötajad!$A$1:$E$1,0))</f>
        <v>36209121746</v>
      </c>
      <c r="G19" s="66">
        <v>11</v>
      </c>
    </row>
    <row r="20" spans="3:18" x14ac:dyDescent="0.3">
      <c r="C20" s="5" t="s">
        <v>23</v>
      </c>
      <c r="D20" s="6">
        <v>46263</v>
      </c>
      <c r="E20" s="7" t="str">
        <f>INDEX(töötajate_tabel,MATCH($C20,Töötajad!$A$2:$A$100,0),MATCH(Töötajad!$D$1,Töötajad!$A$1:$E$1,0))</f>
        <v>meister</v>
      </c>
      <c r="F20" s="7" t="str">
        <f>INDEX(töötajate_tabel,MATCH($C20,Töötajad!$A$2:$A$100,0),MATCH(Töötajad!$B$1,Töötajad!$A$1:$E$1,0))</f>
        <v>36304040224</v>
      </c>
      <c r="G20" s="66">
        <v>1</v>
      </c>
    </row>
    <row r="21" spans="3:18" x14ac:dyDescent="0.3">
      <c r="C21" s="5" t="s">
        <v>26</v>
      </c>
      <c r="D21" s="6">
        <v>46264</v>
      </c>
      <c r="E21" s="7" t="str">
        <f>INDEX(töötajate_tabel,MATCH($C21,Töötajad!$A$2:$A$100,0),MATCH(Töötajad!$D$1,Töötajad!$A$1:$E$1,0))</f>
        <v>koristaja</v>
      </c>
      <c r="F21" s="7" t="str">
        <f>INDEX(töötajate_tabel,MATCH($C21,Töötajad!$A$2:$A$100,0),MATCH(Töötajad!$B$1,Töötajad!$A$1:$E$1,0))</f>
        <v>46309091292</v>
      </c>
      <c r="G21" s="66">
        <v>1</v>
      </c>
      <c r="R21" s="8"/>
    </row>
    <row r="22" spans="3:18" x14ac:dyDescent="0.3">
      <c r="C22" s="9" t="s">
        <v>9</v>
      </c>
      <c r="D22" s="68">
        <f>SUBTOTAL(103,Table1[kuupäev])</f>
        <v>5</v>
      </c>
      <c r="E22" s="68">
        <f>SUBTOTAL(103,Table1[amet])</f>
        <v>5</v>
      </c>
      <c r="F22" s="68">
        <f>SUBTOTAL(103,Table1[isikukood])</f>
        <v>5</v>
      </c>
      <c r="G22" s="67">
        <f>SUBTOTAL(109,Table1[komandeeringutasu])</f>
        <v>15</v>
      </c>
      <c r="R22" s="8"/>
    </row>
    <row r="23" spans="3:18" x14ac:dyDescent="0.3">
      <c r="R23" s="8"/>
    </row>
    <row r="24" spans="3:18" x14ac:dyDescent="0.3">
      <c r="R24" s="8"/>
    </row>
    <row r="25" spans="3:18" x14ac:dyDescent="0.3">
      <c r="R25" s="8"/>
    </row>
    <row r="26" spans="3:18" x14ac:dyDescent="0.3">
      <c r="R26" s="8"/>
    </row>
    <row r="27" spans="3:18" x14ac:dyDescent="0.3">
      <c r="R27" s="8"/>
    </row>
    <row r="28" spans="3:18" x14ac:dyDescent="0.3">
      <c r="R28" s="8"/>
    </row>
    <row r="29" spans="3:18" x14ac:dyDescent="0.3">
      <c r="R29" s="8"/>
    </row>
    <row r="30" spans="3:18" x14ac:dyDescent="0.3">
      <c r="R30" s="8"/>
    </row>
    <row r="31" spans="3:18" x14ac:dyDescent="0.3">
      <c r="R31" s="8"/>
    </row>
    <row r="32" spans="3:18" x14ac:dyDescent="0.3">
      <c r="R32" s="8"/>
    </row>
    <row r="33" spans="13:18" x14ac:dyDescent="0.3">
      <c r="R33" s="8"/>
    </row>
    <row r="34" spans="13:18" x14ac:dyDescent="0.3">
      <c r="R34" s="8"/>
    </row>
    <row r="35" spans="13:18" x14ac:dyDescent="0.3">
      <c r="R35" s="8"/>
    </row>
    <row r="36" spans="13:18" x14ac:dyDescent="0.3">
      <c r="R36" s="8"/>
    </row>
    <row r="37" spans="13:18" x14ac:dyDescent="0.3">
      <c r="R37" s="8"/>
    </row>
    <row r="38" spans="13:18" x14ac:dyDescent="0.3">
      <c r="M38" s="8"/>
      <c r="R38" s="8"/>
    </row>
    <row r="39" spans="13:18" x14ac:dyDescent="0.3">
      <c r="R39" s="8"/>
    </row>
    <row r="40" spans="13:18" x14ac:dyDescent="0.3">
      <c r="R40" s="8"/>
    </row>
    <row r="41" spans="13:18" x14ac:dyDescent="0.3">
      <c r="R41" s="8"/>
    </row>
    <row r="42" spans="13:18" x14ac:dyDescent="0.3">
      <c r="R42" s="8"/>
    </row>
    <row r="43" spans="13:18" x14ac:dyDescent="0.3">
      <c r="R43" s="8"/>
    </row>
    <row r="44" spans="13:18" x14ac:dyDescent="0.3">
      <c r="R44" s="8"/>
    </row>
    <row r="45" spans="13:18" x14ac:dyDescent="0.3">
      <c r="R45" s="8"/>
    </row>
    <row r="46" spans="13:18" x14ac:dyDescent="0.3">
      <c r="R46" s="8"/>
    </row>
    <row r="47" spans="13:18" x14ac:dyDescent="0.3">
      <c r="R47" s="8"/>
    </row>
    <row r="48" spans="13:18" x14ac:dyDescent="0.3">
      <c r="R48" s="8"/>
    </row>
    <row r="49" spans="18:18" x14ac:dyDescent="0.3">
      <c r="R49" s="8"/>
    </row>
    <row r="50" spans="18:18" x14ac:dyDescent="0.3">
      <c r="R50" s="8"/>
    </row>
  </sheetData>
  <mergeCells count="2">
    <mergeCell ref="C15:G15"/>
    <mergeCell ref="D1:J8"/>
  </mergeCells>
  <dataValidations count="2">
    <dataValidation type="decimal" operator="greaterThan" allowBlank="1" showInputMessage="1" showErrorMessage="1" errorTitle="Viga" error="komandeeringutasu peab nullist suurem reaalarv olema" promptTitle="Komandeeringutasu" prompt="suurem kui 0 (reaalarv)" sqref="G17:G21" xr:uid="{49D86A48-EE49-452E-94E9-242D881B8DCB}">
      <formula1>0</formula1>
    </dataValidation>
    <dataValidation type="date" allowBlank="1" showInputMessage="1" showErrorMessage="1" errorTitle="viga" error="valida saab vaid järgmise kalendrikuu kuupäevi" promptTitle="Kuupäev" prompt="Määrata kuupäev järgmise kalendrikuu seisuga" sqref="D17:D21" xr:uid="{FEA0A1FC-2BFC-494D-8F12-5CE9615E9048}">
      <formula1>DATE(YEAR(TODAY()),MONTH(TODAY())+1,1)</formula1>
      <formula2>DATE(YEAR(TODAY()),MONTH(TODAY())+2,1)-1</formula2>
    </dataValidation>
  </dataValidations>
  <hyperlinks>
    <hyperlink ref="A2" location="väljamõeldud_inimesed" display="väljamõeldud_inimesed" xr:uid="{FF71E2DF-EDC2-40F3-812E-B336BF12E716}"/>
    <hyperlink ref="B2" location="Tabeliobjekt!E16:F21" display="Tabeliobjekt!E16:F21" xr:uid="{D9B03316-800A-4617-9240-F28FB5CB48B0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valida sobiv nimi_x000a_" xr:uid="{B9AD9D6B-944F-4BD2-B79F-54EFE189D34F}">
          <x14:formula1>
            <xm:f>Töötajad!$A$2:$A$100</xm:f>
          </x14:formula1>
          <xm:sqref>C17:C21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8427-9E53-4AAC-8674-45894AA02115}">
  <dimension ref="A1:X382"/>
  <sheetViews>
    <sheetView topLeftCell="A9" zoomScale="79" zoomScaleNormal="85" workbookViewId="0">
      <selection activeCell="E15" sqref="E15"/>
    </sheetView>
  </sheetViews>
  <sheetFormatPr defaultRowHeight="14.4" x14ac:dyDescent="0.3"/>
  <cols>
    <col min="1" max="1" width="11.33203125" customWidth="1"/>
    <col min="2" max="2" width="19.44140625" bestFit="1" customWidth="1"/>
    <col min="3" max="3" width="40.5546875" bestFit="1" customWidth="1"/>
    <col min="4" max="4" width="35.21875" bestFit="1" customWidth="1"/>
    <col min="5" max="5" width="32.21875" customWidth="1"/>
    <col min="6" max="6" width="18" bestFit="1" customWidth="1"/>
    <col min="7" max="7" width="17.44140625" customWidth="1"/>
    <col min="8" max="8" width="22.5546875" bestFit="1" customWidth="1"/>
    <col min="9" max="9" width="24.44140625" bestFit="1" customWidth="1"/>
    <col min="10" max="10" width="32.77734375" bestFit="1" customWidth="1"/>
    <col min="11" max="11" width="40.6640625" bestFit="1" customWidth="1"/>
    <col min="12" max="12" width="16.21875" bestFit="1" customWidth="1"/>
    <col min="13" max="13" width="36.6640625" bestFit="1" customWidth="1"/>
    <col min="14" max="14" width="24.33203125" bestFit="1" customWidth="1"/>
    <col min="15" max="15" width="21.21875" bestFit="1" customWidth="1"/>
    <col min="16" max="16" width="31.88671875" bestFit="1" customWidth="1"/>
    <col min="17" max="17" width="19" customWidth="1"/>
    <col min="18" max="18" width="35.21875" bestFit="1" customWidth="1"/>
    <col min="19" max="19" width="18" bestFit="1" customWidth="1"/>
    <col min="20" max="20" width="22.5546875" bestFit="1" customWidth="1"/>
    <col min="21" max="22" width="24.33203125" bestFit="1" customWidth="1"/>
  </cols>
  <sheetData>
    <row r="1" spans="1:17" x14ac:dyDescent="0.3">
      <c r="D1" s="159" t="s">
        <v>416</v>
      </c>
      <c r="E1" s="160"/>
      <c r="F1" s="160"/>
      <c r="G1" s="161"/>
    </row>
    <row r="2" spans="1:17" x14ac:dyDescent="0.3">
      <c r="B2" s="58" t="s">
        <v>350</v>
      </c>
      <c r="D2" s="162"/>
      <c r="E2" s="163"/>
      <c r="F2" s="163"/>
      <c r="G2" s="164"/>
    </row>
    <row r="3" spans="1:17" x14ac:dyDescent="0.3">
      <c r="B3" s="64" t="s">
        <v>352</v>
      </c>
      <c r="D3" s="162"/>
      <c r="E3" s="163"/>
      <c r="F3" s="163"/>
      <c r="G3" s="164"/>
    </row>
    <row r="4" spans="1:17" x14ac:dyDescent="0.3">
      <c r="D4" s="162"/>
      <c r="E4" s="163"/>
      <c r="F4" s="163"/>
      <c r="G4" s="164"/>
    </row>
    <row r="5" spans="1:17" ht="15" thickBot="1" x14ac:dyDescent="0.35">
      <c r="B5" s="58" t="s">
        <v>363</v>
      </c>
      <c r="D5" s="165"/>
      <c r="E5" s="166"/>
      <c r="F5" s="166"/>
      <c r="G5" s="167"/>
    </row>
    <row r="6" spans="1:17" x14ac:dyDescent="0.3">
      <c r="B6" s="64" t="s">
        <v>364</v>
      </c>
    </row>
    <row r="7" spans="1:17" ht="21" x14ac:dyDescent="0.4">
      <c r="Q7" s="22"/>
    </row>
    <row r="8" spans="1:17" ht="15" customHeight="1" thickBot="1" x14ac:dyDescent="0.35">
      <c r="A8" s="23"/>
      <c r="B8" s="58" t="s">
        <v>365</v>
      </c>
    </row>
    <row r="9" spans="1:17" ht="28.8" x14ac:dyDescent="0.3">
      <c r="A9" s="23"/>
      <c r="B9" s="64" t="s">
        <v>366</v>
      </c>
      <c r="D9" s="156" t="s">
        <v>230</v>
      </c>
      <c r="E9" s="157"/>
      <c r="F9" s="157"/>
      <c r="G9" s="158"/>
      <c r="I9" s="93" t="s">
        <v>357</v>
      </c>
      <c r="J9" s="52" t="s">
        <v>234</v>
      </c>
    </row>
    <row r="10" spans="1:17" ht="28.8" x14ac:dyDescent="0.3">
      <c r="A10" s="23"/>
      <c r="D10" s="94" t="s">
        <v>231</v>
      </c>
      <c r="E10" s="52" t="s">
        <v>231</v>
      </c>
      <c r="F10" s="52" t="s">
        <v>232</v>
      </c>
      <c r="G10" s="95" t="s">
        <v>233</v>
      </c>
      <c r="I10" s="18" t="s">
        <v>239</v>
      </c>
      <c r="J10" s="53" t="s">
        <v>353</v>
      </c>
    </row>
    <row r="11" spans="1:17" ht="43.8" thickBot="1" x14ac:dyDescent="0.35">
      <c r="A11" s="23"/>
      <c r="D11" s="96" t="s">
        <v>235</v>
      </c>
      <c r="E11" s="97" t="s">
        <v>236</v>
      </c>
      <c r="F11" s="98" t="s">
        <v>237</v>
      </c>
      <c r="G11" s="99" t="s">
        <v>238</v>
      </c>
      <c r="I11" s="18" t="s">
        <v>240</v>
      </c>
      <c r="J11" s="53" t="s">
        <v>355</v>
      </c>
    </row>
    <row r="12" spans="1:17" x14ac:dyDescent="0.3">
      <c r="I12" s="18" t="s">
        <v>241</v>
      </c>
      <c r="J12" s="53" t="s">
        <v>356</v>
      </c>
    </row>
    <row r="13" spans="1:17" ht="13.2" customHeight="1" x14ac:dyDescent="0.3">
      <c r="A13" s="23"/>
      <c r="B13" s="24"/>
      <c r="I13" s="18" t="s">
        <v>242</v>
      </c>
      <c r="J13" s="70" t="s">
        <v>349</v>
      </c>
    </row>
    <row r="14" spans="1:17" x14ac:dyDescent="0.3">
      <c r="A14" s="23"/>
      <c r="B14" s="24"/>
      <c r="I14" s="18" t="s">
        <v>248</v>
      </c>
    </row>
    <row r="15" spans="1:17" x14ac:dyDescent="0.3">
      <c r="A15" s="23"/>
      <c r="I15" s="18" t="s">
        <v>251</v>
      </c>
    </row>
    <row r="16" spans="1:17" x14ac:dyDescent="0.3">
      <c r="A16" s="23"/>
      <c r="I16" s="18" t="s">
        <v>253</v>
      </c>
    </row>
    <row r="17" spans="1:24" x14ac:dyDescent="0.3">
      <c r="I17" s="18" t="s">
        <v>255</v>
      </c>
    </row>
    <row r="18" spans="1:24" x14ac:dyDescent="0.3">
      <c r="A18" s="25"/>
      <c r="I18" s="18" t="s">
        <v>256</v>
      </c>
      <c r="R18" s="27"/>
      <c r="W18" s="26"/>
      <c r="X18" s="27"/>
    </row>
    <row r="19" spans="1:24" ht="48.6" customHeight="1" x14ac:dyDescent="0.3">
      <c r="A19" s="25"/>
      <c r="R19" s="27"/>
      <c r="W19" s="26"/>
      <c r="X19" s="27"/>
    </row>
    <row r="20" spans="1:24" ht="15" thickBot="1" x14ac:dyDescent="0.35">
      <c r="R20" s="27"/>
      <c r="W20" s="26"/>
      <c r="X20" s="27"/>
    </row>
    <row r="21" spans="1:24" ht="15" thickBot="1" x14ac:dyDescent="0.35">
      <c r="A21" s="150" t="s">
        <v>346</v>
      </c>
      <c r="B21" s="151"/>
      <c r="C21" s="151"/>
      <c r="D21" s="152"/>
      <c r="F21" s="153" t="s">
        <v>354</v>
      </c>
      <c r="G21" s="154"/>
      <c r="H21" s="154"/>
      <c r="I21" s="155"/>
      <c r="R21" s="27"/>
      <c r="W21" s="26"/>
      <c r="X21" s="27"/>
    </row>
    <row r="22" spans="1:24" x14ac:dyDescent="0.3">
      <c r="A22" s="69" t="s">
        <v>243</v>
      </c>
      <c r="B22" s="69" t="s">
        <v>244</v>
      </c>
      <c r="C22" s="69" t="s">
        <v>232</v>
      </c>
      <c r="D22" s="69" t="s">
        <v>245</v>
      </c>
      <c r="F22" s="69" t="s">
        <v>246</v>
      </c>
      <c r="G22" s="69" t="s">
        <v>231</v>
      </c>
      <c r="H22" s="69" t="s">
        <v>247</v>
      </c>
      <c r="I22" s="69" t="s">
        <v>233</v>
      </c>
      <c r="P22" s="26"/>
      <c r="R22" s="27"/>
      <c r="W22" s="26"/>
      <c r="X22" s="27"/>
    </row>
    <row r="23" spans="1:24" x14ac:dyDescent="0.3">
      <c r="A23" s="53" t="s">
        <v>249</v>
      </c>
      <c r="B23" s="53" t="s">
        <v>250</v>
      </c>
      <c r="C23" s="53" t="s">
        <v>237</v>
      </c>
      <c r="D23" s="54">
        <v>98.82</v>
      </c>
      <c r="E23" s="27"/>
      <c r="F23" s="7" t="str">
        <f>IF(NOT(ISBLANK(B23)),B23,F22)</f>
        <v>Harju maakond</v>
      </c>
      <c r="G23" s="7">
        <f>_xlfn.NUMBERVALUE(IF(NOT(ISBLANK(A23)),A23,G22))</f>
        <v>2012</v>
      </c>
      <c r="H23" s="7" cm="1">
        <f t="array" ref="H23:H382">INDEX(rahvastik_tabel,MATCH(SKP_maakond,rahvastik_maakonnad,0),MATCH(SKP_aasta,rahvastik_aastad,0))</f>
        <v>566741</v>
      </c>
      <c r="I23" s="7" cm="1">
        <f t="array" ref="I23:I382">ROUND((Väärtus_jooksevhindades__miljonit_eurot*1000000)/maakondade_rahvaarvud,2)</f>
        <v>174.37</v>
      </c>
      <c r="P23" s="26"/>
      <c r="R23" s="27"/>
      <c r="W23" s="26"/>
      <c r="X23" s="27"/>
    </row>
    <row r="24" spans="1:24" x14ac:dyDescent="0.3">
      <c r="A24" s="53"/>
      <c r="B24" s="53"/>
      <c r="C24" s="53" t="s">
        <v>252</v>
      </c>
      <c r="D24" s="54">
        <v>2286.81</v>
      </c>
      <c r="E24" s="27"/>
      <c r="F24" s="7" t="str">
        <f t="shared" ref="F24:F87" si="0">IF(NOT(ISBLANK(B24)),B24,F23)</f>
        <v>Harju maakond</v>
      </c>
      <c r="G24" s="7">
        <f t="shared" ref="G24:G87" si="1">_xlfn.NUMBERVALUE(IF(NOT(ISBLANK(A24)),A24,G23))</f>
        <v>2012</v>
      </c>
      <c r="H24" s="7">
        <v>566741</v>
      </c>
      <c r="I24" s="7">
        <v>4035.02</v>
      </c>
      <c r="P24" s="26"/>
      <c r="R24" s="27"/>
      <c r="W24" s="26"/>
      <c r="X24" s="27"/>
    </row>
    <row r="25" spans="1:24" x14ac:dyDescent="0.3">
      <c r="A25" s="53"/>
      <c r="B25" s="53"/>
      <c r="C25" s="53" t="s">
        <v>254</v>
      </c>
      <c r="D25" s="54">
        <v>7557.54</v>
      </c>
      <c r="E25" s="27"/>
      <c r="F25" s="7" t="str">
        <f t="shared" si="0"/>
        <v>Harju maakond</v>
      </c>
      <c r="G25" s="7">
        <f t="shared" si="1"/>
        <v>2012</v>
      </c>
      <c r="H25" s="7">
        <v>566741</v>
      </c>
      <c r="I25" s="7">
        <v>13335.09</v>
      </c>
      <c r="P25" s="26"/>
      <c r="R25" s="27"/>
      <c r="W25" s="26"/>
      <c r="X25" s="27"/>
    </row>
    <row r="26" spans="1:24" x14ac:dyDescent="0.3">
      <c r="A26" s="53"/>
      <c r="B26" s="53" t="s">
        <v>239</v>
      </c>
      <c r="C26" s="53" t="s">
        <v>237</v>
      </c>
      <c r="D26" s="54">
        <v>8.68</v>
      </c>
      <c r="E26" s="27"/>
      <c r="F26" s="7" t="str">
        <f t="shared" si="0"/>
        <v>Hiiu maakond</v>
      </c>
      <c r="G26" s="7">
        <f t="shared" si="1"/>
        <v>2012</v>
      </c>
      <c r="H26" s="7">
        <v>8620</v>
      </c>
      <c r="I26" s="7">
        <v>1006.96</v>
      </c>
      <c r="P26" s="26"/>
      <c r="R26" s="27"/>
      <c r="W26" s="26"/>
      <c r="X26" s="27"/>
    </row>
    <row r="27" spans="1:24" x14ac:dyDescent="0.3">
      <c r="A27" s="53"/>
      <c r="B27" s="53"/>
      <c r="C27" s="53" t="s">
        <v>252</v>
      </c>
      <c r="D27" s="54">
        <v>21.15</v>
      </c>
      <c r="E27" s="27"/>
      <c r="F27" s="7" t="str">
        <f t="shared" si="0"/>
        <v>Hiiu maakond</v>
      </c>
      <c r="G27" s="7">
        <f t="shared" si="1"/>
        <v>2012</v>
      </c>
      <c r="H27" s="7">
        <v>8620</v>
      </c>
      <c r="I27" s="7">
        <v>2453.6</v>
      </c>
      <c r="Q27" s="26"/>
      <c r="R27" s="27"/>
      <c r="W27" s="26"/>
      <c r="X27" s="27"/>
    </row>
    <row r="28" spans="1:24" x14ac:dyDescent="0.3">
      <c r="A28" s="53"/>
      <c r="B28" s="53"/>
      <c r="C28" s="53" t="s">
        <v>254</v>
      </c>
      <c r="D28" s="54">
        <v>27.91</v>
      </c>
      <c r="E28" s="27"/>
      <c r="F28" s="7" t="str">
        <f t="shared" si="0"/>
        <v>Hiiu maakond</v>
      </c>
      <c r="G28" s="7">
        <f t="shared" si="1"/>
        <v>2012</v>
      </c>
      <c r="H28" s="7">
        <v>8620</v>
      </c>
      <c r="I28" s="7">
        <v>3237.82</v>
      </c>
      <c r="Q28" s="26"/>
      <c r="R28" s="27"/>
      <c r="W28" s="26"/>
      <c r="X28" s="27"/>
    </row>
    <row r="29" spans="1:24" x14ac:dyDescent="0.3">
      <c r="A29" s="53"/>
      <c r="B29" s="53" t="s">
        <v>257</v>
      </c>
      <c r="C29" s="53" t="s">
        <v>237</v>
      </c>
      <c r="D29" s="54">
        <v>18.43</v>
      </c>
      <c r="E29" s="27"/>
      <c r="F29" s="7" t="str">
        <f t="shared" si="0"/>
        <v>Ida-Viru maakond</v>
      </c>
      <c r="G29" s="7">
        <f t="shared" si="1"/>
        <v>2012</v>
      </c>
      <c r="H29" s="7">
        <v>153716</v>
      </c>
      <c r="I29" s="7">
        <v>119.9</v>
      </c>
      <c r="Q29" s="26"/>
      <c r="R29" s="27"/>
      <c r="W29" s="26"/>
      <c r="X29" s="27"/>
    </row>
    <row r="30" spans="1:24" x14ac:dyDescent="0.3">
      <c r="A30" s="53"/>
      <c r="B30" s="53"/>
      <c r="C30" s="53" t="s">
        <v>252</v>
      </c>
      <c r="D30" s="54">
        <v>650.86</v>
      </c>
      <c r="E30" s="27"/>
      <c r="F30" s="7" t="str">
        <f t="shared" si="0"/>
        <v>Ida-Viru maakond</v>
      </c>
      <c r="G30" s="7">
        <f t="shared" si="1"/>
        <v>2012</v>
      </c>
      <c r="H30" s="7">
        <v>153716</v>
      </c>
      <c r="I30" s="7">
        <v>4234.17</v>
      </c>
      <c r="Q30" s="26"/>
      <c r="R30" s="27"/>
      <c r="W30" s="26"/>
      <c r="X30" s="27"/>
    </row>
    <row r="31" spans="1:24" x14ac:dyDescent="0.3">
      <c r="A31" s="53"/>
      <c r="B31" s="53"/>
      <c r="C31" s="53" t="s">
        <v>254</v>
      </c>
      <c r="D31" s="54">
        <v>475.93</v>
      </c>
      <c r="E31" s="27"/>
      <c r="F31" s="7" t="str">
        <f t="shared" si="0"/>
        <v>Ida-Viru maakond</v>
      </c>
      <c r="G31" s="7">
        <f t="shared" si="1"/>
        <v>2012</v>
      </c>
      <c r="H31" s="7">
        <v>153716</v>
      </c>
      <c r="I31" s="7">
        <v>3096.16</v>
      </c>
      <c r="Q31" s="26"/>
      <c r="R31" s="27"/>
      <c r="W31" s="26"/>
      <c r="X31" s="27"/>
    </row>
    <row r="32" spans="1:24" x14ac:dyDescent="0.3">
      <c r="A32" s="53"/>
      <c r="B32" s="53" t="s">
        <v>240</v>
      </c>
      <c r="C32" s="53" t="s">
        <v>237</v>
      </c>
      <c r="D32" s="54">
        <v>48.05</v>
      </c>
      <c r="E32" s="27"/>
      <c r="F32" s="7" t="str">
        <f t="shared" si="0"/>
        <v>Jõgeva maakond</v>
      </c>
      <c r="G32" s="7">
        <f t="shared" si="1"/>
        <v>2012</v>
      </c>
      <c r="H32" s="7">
        <v>31967</v>
      </c>
      <c r="I32" s="7">
        <v>1503.11</v>
      </c>
      <c r="Q32" s="26"/>
      <c r="R32" s="27"/>
      <c r="W32" s="26"/>
      <c r="X32" s="27"/>
    </row>
    <row r="33" spans="1:24" x14ac:dyDescent="0.3">
      <c r="A33" s="53"/>
      <c r="B33" s="53"/>
      <c r="C33" s="53" t="s">
        <v>252</v>
      </c>
      <c r="D33" s="54">
        <v>52.5</v>
      </c>
      <c r="E33" s="27"/>
      <c r="F33" s="7" t="str">
        <f t="shared" si="0"/>
        <v>Jõgeva maakond</v>
      </c>
      <c r="G33" s="7">
        <f t="shared" si="1"/>
        <v>2012</v>
      </c>
      <c r="H33" s="7">
        <v>31967</v>
      </c>
      <c r="I33" s="7">
        <v>1642.32</v>
      </c>
      <c r="Q33" s="26"/>
      <c r="R33" s="27"/>
      <c r="W33" s="26"/>
      <c r="X33" s="27"/>
    </row>
    <row r="34" spans="1:24" x14ac:dyDescent="0.3">
      <c r="A34" s="53"/>
      <c r="B34" s="53"/>
      <c r="C34" s="53" t="s">
        <v>254</v>
      </c>
      <c r="D34" s="54">
        <v>75.22</v>
      </c>
      <c r="E34" s="27"/>
      <c r="F34" s="7" t="str">
        <f t="shared" si="0"/>
        <v>Jõgeva maakond</v>
      </c>
      <c r="G34" s="7">
        <f t="shared" si="1"/>
        <v>2012</v>
      </c>
      <c r="H34" s="7">
        <v>31967</v>
      </c>
      <c r="I34" s="7">
        <v>2353.0500000000002</v>
      </c>
      <c r="Q34" s="26"/>
      <c r="R34" s="27"/>
      <c r="W34" s="26"/>
      <c r="X34" s="27"/>
    </row>
    <row r="35" spans="1:24" x14ac:dyDescent="0.3">
      <c r="A35" s="53"/>
      <c r="B35" s="53" t="s">
        <v>241</v>
      </c>
      <c r="C35" s="53" t="s">
        <v>237</v>
      </c>
      <c r="D35" s="54">
        <v>37.29</v>
      </c>
      <c r="E35" s="27"/>
      <c r="F35" s="7" t="str">
        <f t="shared" si="0"/>
        <v>Järva maakond</v>
      </c>
      <c r="G35" s="7">
        <f t="shared" si="1"/>
        <v>2012</v>
      </c>
      <c r="H35" s="7">
        <v>31204</v>
      </c>
      <c r="I35" s="7">
        <v>1195.04</v>
      </c>
      <c r="Q35" s="26"/>
      <c r="R35" s="27"/>
      <c r="W35" s="26"/>
      <c r="X35" s="27"/>
    </row>
    <row r="36" spans="1:24" x14ac:dyDescent="0.3">
      <c r="A36" s="53"/>
      <c r="B36" s="53"/>
      <c r="C36" s="53" t="s">
        <v>252</v>
      </c>
      <c r="D36" s="54">
        <v>99.23</v>
      </c>
      <c r="E36" s="27"/>
      <c r="F36" s="7" t="str">
        <f t="shared" si="0"/>
        <v>Järva maakond</v>
      </c>
      <c r="G36" s="7">
        <f t="shared" si="1"/>
        <v>2012</v>
      </c>
      <c r="H36" s="7">
        <v>31204</v>
      </c>
      <c r="I36" s="7">
        <v>3180.04</v>
      </c>
      <c r="Q36" s="26"/>
      <c r="R36" s="27"/>
      <c r="W36" s="26"/>
      <c r="X36" s="27"/>
    </row>
    <row r="37" spans="1:24" x14ac:dyDescent="0.3">
      <c r="A37" s="53"/>
      <c r="B37" s="53"/>
      <c r="C37" s="53" t="s">
        <v>254</v>
      </c>
      <c r="D37" s="54">
        <v>102.15</v>
      </c>
      <c r="E37" s="27"/>
      <c r="F37" s="7" t="str">
        <f t="shared" si="0"/>
        <v>Järva maakond</v>
      </c>
      <c r="G37" s="7">
        <f t="shared" si="1"/>
        <v>2012</v>
      </c>
      <c r="H37" s="7">
        <v>31204</v>
      </c>
      <c r="I37" s="7">
        <v>3273.62</v>
      </c>
      <c r="Q37" s="26"/>
      <c r="R37" s="27"/>
      <c r="W37" s="26"/>
      <c r="X37" s="27"/>
    </row>
    <row r="38" spans="1:24" x14ac:dyDescent="0.3">
      <c r="A38" s="53"/>
      <c r="B38" s="53" t="s">
        <v>258</v>
      </c>
      <c r="C38" s="53" t="s">
        <v>237</v>
      </c>
      <c r="D38" s="54">
        <v>17.32</v>
      </c>
      <c r="E38" s="27"/>
      <c r="F38" s="7" t="str">
        <f t="shared" si="0"/>
        <v>Lääne maakond</v>
      </c>
      <c r="G38" s="7">
        <f t="shared" si="1"/>
        <v>2012</v>
      </c>
      <c r="H38" s="7">
        <v>24734</v>
      </c>
      <c r="I38" s="7">
        <v>700.25</v>
      </c>
      <c r="Q38" s="26"/>
      <c r="R38" s="27"/>
      <c r="W38" s="26"/>
      <c r="X38" s="27"/>
    </row>
    <row r="39" spans="1:24" x14ac:dyDescent="0.3">
      <c r="A39" s="53"/>
      <c r="B39" s="53"/>
      <c r="C39" s="53" t="s">
        <v>252</v>
      </c>
      <c r="D39" s="54">
        <v>61.22</v>
      </c>
      <c r="E39" s="27"/>
      <c r="F39" s="7" t="str">
        <f t="shared" si="0"/>
        <v>Lääne maakond</v>
      </c>
      <c r="G39" s="7">
        <f t="shared" si="1"/>
        <v>2012</v>
      </c>
      <c r="H39" s="7">
        <v>24734</v>
      </c>
      <c r="I39" s="7">
        <v>2475.14</v>
      </c>
      <c r="Q39" s="26"/>
      <c r="R39" s="27"/>
      <c r="W39" s="26"/>
      <c r="X39" s="27"/>
    </row>
    <row r="40" spans="1:24" x14ac:dyDescent="0.3">
      <c r="A40" s="53"/>
      <c r="B40" s="53"/>
      <c r="C40" s="53" t="s">
        <v>254</v>
      </c>
      <c r="D40" s="54">
        <v>91.29</v>
      </c>
      <c r="E40" s="27"/>
      <c r="F40" s="7" t="str">
        <f t="shared" si="0"/>
        <v>Lääne maakond</v>
      </c>
      <c r="G40" s="7">
        <f t="shared" si="1"/>
        <v>2012</v>
      </c>
      <c r="H40" s="7">
        <v>24734</v>
      </c>
      <c r="I40" s="7">
        <v>3690.87</v>
      </c>
      <c r="Q40" s="26"/>
      <c r="R40" s="27"/>
      <c r="W40" s="26"/>
      <c r="X40" s="27"/>
    </row>
    <row r="41" spans="1:24" x14ac:dyDescent="0.3">
      <c r="A41" s="53"/>
      <c r="B41" s="53" t="s">
        <v>242</v>
      </c>
      <c r="C41" s="53" t="s">
        <v>237</v>
      </c>
      <c r="D41" s="54">
        <v>59.99</v>
      </c>
      <c r="E41" s="27"/>
      <c r="F41" s="7" t="str">
        <f t="shared" si="0"/>
        <v>Lääne-Viru maakond</v>
      </c>
      <c r="G41" s="7">
        <f t="shared" si="1"/>
        <v>2012</v>
      </c>
      <c r="H41" s="7">
        <v>61154</v>
      </c>
      <c r="I41" s="7">
        <v>980.97</v>
      </c>
      <c r="Q41" s="26"/>
      <c r="R41" s="27"/>
      <c r="W41" s="26"/>
      <c r="X41" s="27"/>
    </row>
    <row r="42" spans="1:24" x14ac:dyDescent="0.3">
      <c r="A42" s="53"/>
      <c r="B42" s="53"/>
      <c r="C42" s="53" t="s">
        <v>252</v>
      </c>
      <c r="D42" s="54">
        <v>210.6</v>
      </c>
      <c r="E42" s="27"/>
      <c r="F42" s="7" t="str">
        <f t="shared" si="0"/>
        <v>Lääne-Viru maakond</v>
      </c>
      <c r="G42" s="7">
        <f t="shared" si="1"/>
        <v>2012</v>
      </c>
      <c r="H42" s="7">
        <v>61154</v>
      </c>
      <c r="I42" s="7">
        <v>3443.76</v>
      </c>
      <c r="Q42" s="26"/>
      <c r="R42" s="27"/>
      <c r="W42" s="26"/>
      <c r="X42" s="27"/>
    </row>
    <row r="43" spans="1:24" x14ac:dyDescent="0.3">
      <c r="A43" s="53"/>
      <c r="B43" s="53"/>
      <c r="C43" s="53" t="s">
        <v>254</v>
      </c>
      <c r="D43" s="54">
        <v>219.95</v>
      </c>
      <c r="E43" s="27"/>
      <c r="F43" s="7" t="str">
        <f t="shared" si="0"/>
        <v>Lääne-Viru maakond</v>
      </c>
      <c r="G43" s="7">
        <f t="shared" si="1"/>
        <v>2012</v>
      </c>
      <c r="H43" s="7">
        <v>61154</v>
      </c>
      <c r="I43" s="7">
        <v>3596.66</v>
      </c>
      <c r="Q43" s="26"/>
      <c r="R43" s="27"/>
      <c r="W43" s="26"/>
      <c r="X43" s="27"/>
    </row>
    <row r="44" spans="1:24" x14ac:dyDescent="0.3">
      <c r="A44" s="53"/>
      <c r="B44" s="53" t="s">
        <v>248</v>
      </c>
      <c r="C44" s="53" t="s">
        <v>237</v>
      </c>
      <c r="D44" s="54">
        <v>30.02</v>
      </c>
      <c r="E44" s="27"/>
      <c r="F44" s="7" t="str">
        <f t="shared" si="0"/>
        <v>Põlva maakond</v>
      </c>
      <c r="G44" s="7">
        <f t="shared" si="1"/>
        <v>2012</v>
      </c>
      <c r="H44" s="7">
        <v>28026</v>
      </c>
      <c r="I44" s="7">
        <v>1071.1500000000001</v>
      </c>
      <c r="Q44" s="26"/>
      <c r="R44" s="27"/>
      <c r="W44" s="26"/>
      <c r="X44" s="27"/>
    </row>
    <row r="45" spans="1:24" x14ac:dyDescent="0.3">
      <c r="A45" s="53"/>
      <c r="B45" s="53"/>
      <c r="C45" s="53" t="s">
        <v>252</v>
      </c>
      <c r="D45" s="54">
        <v>48.15</v>
      </c>
      <c r="E45" s="27"/>
      <c r="F45" s="7" t="str">
        <f t="shared" si="0"/>
        <v>Põlva maakond</v>
      </c>
      <c r="G45" s="7">
        <f t="shared" si="1"/>
        <v>2012</v>
      </c>
      <c r="H45" s="7">
        <v>28026</v>
      </c>
      <c r="I45" s="7">
        <v>1718.05</v>
      </c>
      <c r="Q45" s="26"/>
      <c r="R45" s="27"/>
      <c r="W45" s="26"/>
      <c r="X45" s="27"/>
    </row>
    <row r="46" spans="1:24" x14ac:dyDescent="0.3">
      <c r="A46" s="53"/>
      <c r="B46" s="53"/>
      <c r="C46" s="53" t="s">
        <v>254</v>
      </c>
      <c r="D46" s="54">
        <v>65.88</v>
      </c>
      <c r="E46" s="27"/>
      <c r="F46" s="7" t="str">
        <f t="shared" si="0"/>
        <v>Põlva maakond</v>
      </c>
      <c r="G46" s="7">
        <f t="shared" si="1"/>
        <v>2012</v>
      </c>
      <c r="H46" s="7">
        <v>28026</v>
      </c>
      <c r="I46" s="7">
        <v>2350.67</v>
      </c>
      <c r="Q46" s="26"/>
      <c r="R46" s="27"/>
      <c r="W46" s="26"/>
      <c r="X46" s="27"/>
    </row>
    <row r="47" spans="1:24" x14ac:dyDescent="0.3">
      <c r="A47" s="53"/>
      <c r="B47" s="53" t="s">
        <v>259</v>
      </c>
      <c r="C47" s="53" t="s">
        <v>237</v>
      </c>
      <c r="D47" s="54">
        <v>58.54</v>
      </c>
      <c r="E47" s="27"/>
      <c r="F47" s="7" t="str">
        <f t="shared" si="0"/>
        <v>Pärnu maakond</v>
      </c>
      <c r="G47" s="7">
        <f t="shared" si="1"/>
        <v>2012</v>
      </c>
      <c r="H47" s="7">
        <v>84388</v>
      </c>
      <c r="I47" s="7">
        <v>693.7</v>
      </c>
      <c r="Q47" s="26"/>
      <c r="R47" s="27"/>
      <c r="W47" s="26"/>
      <c r="X47" s="27"/>
    </row>
    <row r="48" spans="1:24" x14ac:dyDescent="0.3">
      <c r="A48" s="53"/>
      <c r="B48" s="53"/>
      <c r="C48" s="53" t="s">
        <v>252</v>
      </c>
      <c r="D48" s="54">
        <v>231.04</v>
      </c>
      <c r="E48" s="27"/>
      <c r="F48" s="7" t="str">
        <f t="shared" si="0"/>
        <v>Pärnu maakond</v>
      </c>
      <c r="G48" s="7">
        <f t="shared" si="1"/>
        <v>2012</v>
      </c>
      <c r="H48" s="7">
        <v>84388</v>
      </c>
      <c r="I48" s="7">
        <v>2737.83</v>
      </c>
      <c r="Q48" s="26"/>
      <c r="R48" s="27"/>
      <c r="W48" s="26"/>
      <c r="X48" s="27"/>
    </row>
    <row r="49" spans="1:24" x14ac:dyDescent="0.3">
      <c r="A49" s="53"/>
      <c r="B49" s="53"/>
      <c r="C49" s="53" t="s">
        <v>254</v>
      </c>
      <c r="D49" s="54">
        <v>386.34</v>
      </c>
      <c r="E49" s="27"/>
      <c r="F49" s="7" t="str">
        <f t="shared" si="0"/>
        <v>Pärnu maakond</v>
      </c>
      <c r="G49" s="7">
        <f t="shared" si="1"/>
        <v>2012</v>
      </c>
      <c r="H49" s="7">
        <v>84388</v>
      </c>
      <c r="I49" s="7">
        <v>4578.1400000000003</v>
      </c>
      <c r="Q49" s="26"/>
      <c r="R49" s="27"/>
      <c r="W49" s="26"/>
      <c r="X49" s="27"/>
    </row>
    <row r="50" spans="1:24" x14ac:dyDescent="0.3">
      <c r="A50" s="53"/>
      <c r="B50" s="53" t="s">
        <v>256</v>
      </c>
      <c r="C50" s="53" t="s">
        <v>237</v>
      </c>
      <c r="D50" s="54">
        <v>26.32</v>
      </c>
      <c r="E50" s="27"/>
      <c r="F50" s="7" t="str">
        <f t="shared" si="0"/>
        <v>Rapla maakond</v>
      </c>
      <c r="G50" s="7">
        <f t="shared" si="1"/>
        <v>2012</v>
      </c>
      <c r="H50" s="7">
        <v>35503</v>
      </c>
      <c r="I50" s="7">
        <v>741.35</v>
      </c>
      <c r="Q50" s="26"/>
      <c r="R50" s="27"/>
      <c r="W50" s="26"/>
      <c r="X50" s="27"/>
    </row>
    <row r="51" spans="1:24" x14ac:dyDescent="0.3">
      <c r="A51" s="53"/>
      <c r="B51" s="53"/>
      <c r="C51" s="53" t="s">
        <v>252</v>
      </c>
      <c r="D51" s="54">
        <v>65.790000000000006</v>
      </c>
      <c r="E51" s="27"/>
      <c r="F51" s="7" t="str">
        <f t="shared" si="0"/>
        <v>Rapla maakond</v>
      </c>
      <c r="G51" s="7">
        <f t="shared" si="1"/>
        <v>2012</v>
      </c>
      <c r="H51" s="7">
        <v>35503</v>
      </c>
      <c r="I51" s="7">
        <v>1853.08</v>
      </c>
      <c r="Q51" s="26"/>
      <c r="R51" s="27"/>
      <c r="W51" s="26"/>
      <c r="X51" s="27"/>
    </row>
    <row r="52" spans="1:24" x14ac:dyDescent="0.3">
      <c r="A52" s="53"/>
      <c r="B52" s="53"/>
      <c r="C52" s="53" t="s">
        <v>254</v>
      </c>
      <c r="D52" s="54">
        <v>96.76</v>
      </c>
      <c r="E52" s="27"/>
      <c r="F52" s="7" t="str">
        <f t="shared" si="0"/>
        <v>Rapla maakond</v>
      </c>
      <c r="G52" s="7">
        <f t="shared" si="1"/>
        <v>2012</v>
      </c>
      <c r="H52" s="7">
        <v>35503</v>
      </c>
      <c r="I52" s="7">
        <v>2725.4</v>
      </c>
      <c r="Q52" s="26"/>
      <c r="R52" s="27"/>
      <c r="W52" s="26"/>
      <c r="X52" s="27"/>
    </row>
    <row r="53" spans="1:24" x14ac:dyDescent="0.3">
      <c r="A53" s="53"/>
      <c r="B53" s="53" t="s">
        <v>260</v>
      </c>
      <c r="C53" s="53" t="s">
        <v>237</v>
      </c>
      <c r="D53" s="54">
        <v>17.48</v>
      </c>
      <c r="E53" s="27"/>
      <c r="F53" s="7" t="str">
        <f t="shared" si="0"/>
        <v>Saare maakond</v>
      </c>
      <c r="G53" s="7">
        <f t="shared" si="1"/>
        <v>2012</v>
      </c>
      <c r="H53" s="7">
        <v>31835</v>
      </c>
      <c r="I53" s="7">
        <v>549.08000000000004</v>
      </c>
      <c r="Q53" s="26"/>
      <c r="R53" s="27"/>
      <c r="W53" s="26"/>
      <c r="X53" s="27"/>
    </row>
    <row r="54" spans="1:24" x14ac:dyDescent="0.3">
      <c r="A54" s="53"/>
      <c r="B54" s="53"/>
      <c r="C54" s="53" t="s">
        <v>252</v>
      </c>
      <c r="D54" s="54">
        <v>108.5</v>
      </c>
      <c r="E54" s="27"/>
      <c r="F54" s="7" t="str">
        <f t="shared" si="0"/>
        <v>Saare maakond</v>
      </c>
      <c r="G54" s="7">
        <f t="shared" si="1"/>
        <v>2012</v>
      </c>
      <c r="H54" s="7">
        <v>31835</v>
      </c>
      <c r="I54" s="7">
        <v>3408.2</v>
      </c>
      <c r="Q54" s="26"/>
      <c r="R54" s="27"/>
      <c r="W54" s="26"/>
      <c r="X54" s="27"/>
    </row>
    <row r="55" spans="1:24" x14ac:dyDescent="0.3">
      <c r="A55" s="53"/>
      <c r="B55" s="53"/>
      <c r="C55" s="53" t="s">
        <v>254</v>
      </c>
      <c r="D55" s="54">
        <v>146.47999999999999</v>
      </c>
      <c r="E55" s="27"/>
      <c r="F55" s="7" t="str">
        <f t="shared" si="0"/>
        <v>Saare maakond</v>
      </c>
      <c r="G55" s="7">
        <f t="shared" si="1"/>
        <v>2012</v>
      </c>
      <c r="H55" s="7">
        <v>31835</v>
      </c>
      <c r="I55" s="7">
        <v>4601.2299999999996</v>
      </c>
      <c r="Q55" s="26"/>
      <c r="R55" s="27"/>
      <c r="W55" s="26"/>
      <c r="X55" s="27"/>
    </row>
    <row r="56" spans="1:24" x14ac:dyDescent="0.3">
      <c r="A56" s="53"/>
      <c r="B56" s="53" t="s">
        <v>261</v>
      </c>
      <c r="C56" s="53" t="s">
        <v>237</v>
      </c>
      <c r="D56" s="54">
        <v>68.88</v>
      </c>
      <c r="E56" s="27"/>
      <c r="F56" s="7" t="str">
        <f t="shared" si="0"/>
        <v>Tartu maakond</v>
      </c>
      <c r="G56" s="7">
        <f t="shared" si="1"/>
        <v>2012</v>
      </c>
      <c r="H56" s="7">
        <v>153479</v>
      </c>
      <c r="I56" s="7">
        <v>448.79</v>
      </c>
      <c r="Q56" s="26"/>
      <c r="R56" s="27"/>
      <c r="W56" s="26"/>
      <c r="X56" s="27"/>
    </row>
    <row r="57" spans="1:24" x14ac:dyDescent="0.3">
      <c r="A57" s="53"/>
      <c r="B57" s="53"/>
      <c r="C57" s="53" t="s">
        <v>252</v>
      </c>
      <c r="D57" s="54">
        <v>411.47</v>
      </c>
      <c r="E57" s="27"/>
      <c r="F57" s="7" t="str">
        <f t="shared" si="0"/>
        <v>Tartu maakond</v>
      </c>
      <c r="G57" s="7">
        <f t="shared" si="1"/>
        <v>2012</v>
      </c>
      <c r="H57" s="7">
        <v>153479</v>
      </c>
      <c r="I57" s="7">
        <v>2680.95</v>
      </c>
      <c r="Q57" s="26"/>
      <c r="R57" s="27"/>
      <c r="W57" s="26"/>
      <c r="X57" s="27"/>
    </row>
    <row r="58" spans="1:24" x14ac:dyDescent="0.3">
      <c r="A58" s="53"/>
      <c r="B58" s="53"/>
      <c r="C58" s="53" t="s">
        <v>254</v>
      </c>
      <c r="D58" s="54">
        <v>1073.1500000000001</v>
      </c>
      <c r="E58" s="27"/>
      <c r="F58" s="7" t="str">
        <f t="shared" si="0"/>
        <v>Tartu maakond</v>
      </c>
      <c r="G58" s="7">
        <f t="shared" si="1"/>
        <v>2012</v>
      </c>
      <c r="H58" s="7">
        <v>153479</v>
      </c>
      <c r="I58" s="7">
        <v>6992.16</v>
      </c>
      <c r="Q58" s="26"/>
      <c r="R58" s="27"/>
      <c r="W58" s="26"/>
      <c r="X58" s="27"/>
    </row>
    <row r="59" spans="1:24" x14ac:dyDescent="0.3">
      <c r="A59" s="53"/>
      <c r="B59" s="53" t="s">
        <v>253</v>
      </c>
      <c r="C59" s="53" t="s">
        <v>237</v>
      </c>
      <c r="D59" s="54">
        <v>24.89</v>
      </c>
      <c r="E59" s="27"/>
      <c r="F59" s="7" t="str">
        <f t="shared" si="0"/>
        <v>Valga maakond</v>
      </c>
      <c r="G59" s="7">
        <f t="shared" si="1"/>
        <v>2012</v>
      </c>
      <c r="H59" s="7">
        <v>31068</v>
      </c>
      <c r="I59" s="7">
        <v>801.15</v>
      </c>
      <c r="Q59" s="26"/>
      <c r="R59" s="27"/>
      <c r="W59" s="26"/>
      <c r="X59" s="27"/>
    </row>
    <row r="60" spans="1:24" x14ac:dyDescent="0.3">
      <c r="A60" s="53"/>
      <c r="B60" s="53"/>
      <c r="C60" s="53" t="s">
        <v>252</v>
      </c>
      <c r="D60" s="54">
        <v>65.58</v>
      </c>
      <c r="E60" s="27"/>
      <c r="F60" s="7" t="str">
        <f t="shared" si="0"/>
        <v>Valga maakond</v>
      </c>
      <c r="G60" s="7">
        <f t="shared" si="1"/>
        <v>2012</v>
      </c>
      <c r="H60" s="7">
        <v>31068</v>
      </c>
      <c r="I60" s="7">
        <v>2110.85</v>
      </c>
      <c r="Q60" s="26"/>
      <c r="R60" s="27"/>
      <c r="W60" s="26"/>
      <c r="X60" s="27"/>
    </row>
    <row r="61" spans="1:24" x14ac:dyDescent="0.3">
      <c r="A61" s="53"/>
      <c r="B61" s="53"/>
      <c r="C61" s="53" t="s">
        <v>254</v>
      </c>
      <c r="D61" s="54">
        <v>78.55</v>
      </c>
      <c r="E61" s="27"/>
      <c r="F61" s="7" t="str">
        <f t="shared" si="0"/>
        <v>Valga maakond</v>
      </c>
      <c r="G61" s="7">
        <f t="shared" si="1"/>
        <v>2012</v>
      </c>
      <c r="H61" s="7">
        <v>31068</v>
      </c>
      <c r="I61" s="7">
        <v>2528.3200000000002</v>
      </c>
      <c r="Q61" s="26"/>
      <c r="R61" s="27"/>
      <c r="W61" s="26"/>
      <c r="X61" s="27"/>
    </row>
    <row r="62" spans="1:24" x14ac:dyDescent="0.3">
      <c r="A62" s="53"/>
      <c r="B62" s="53" t="s">
        <v>251</v>
      </c>
      <c r="C62" s="53" t="s">
        <v>237</v>
      </c>
      <c r="D62" s="54">
        <v>57.69</v>
      </c>
      <c r="E62" s="27"/>
      <c r="F62" s="7" t="str">
        <f t="shared" si="0"/>
        <v>Viljandi maakond</v>
      </c>
      <c r="G62" s="7">
        <f t="shared" si="1"/>
        <v>2012</v>
      </c>
      <c r="H62" s="7">
        <v>48604</v>
      </c>
      <c r="I62" s="7">
        <v>1186.94</v>
      </c>
      <c r="Q62" s="26"/>
      <c r="R62" s="27"/>
      <c r="W62" s="26"/>
      <c r="X62" s="27"/>
    </row>
    <row r="63" spans="1:24" x14ac:dyDescent="0.3">
      <c r="A63" s="53"/>
      <c r="B63" s="53"/>
      <c r="C63" s="53" t="s">
        <v>252</v>
      </c>
      <c r="D63" s="54">
        <v>132.88999999999999</v>
      </c>
      <c r="E63" s="27"/>
      <c r="F63" s="7" t="str">
        <f t="shared" si="0"/>
        <v>Viljandi maakond</v>
      </c>
      <c r="G63" s="7">
        <f t="shared" si="1"/>
        <v>2012</v>
      </c>
      <c r="H63" s="7">
        <v>48604</v>
      </c>
      <c r="I63" s="7">
        <v>2734.14</v>
      </c>
      <c r="Q63" s="26"/>
      <c r="R63" s="27"/>
      <c r="W63" s="26"/>
      <c r="X63" s="27"/>
    </row>
    <row r="64" spans="1:24" x14ac:dyDescent="0.3">
      <c r="A64" s="53"/>
      <c r="B64" s="53"/>
      <c r="C64" s="53" t="s">
        <v>254</v>
      </c>
      <c r="D64" s="54">
        <v>161.18</v>
      </c>
      <c r="E64" s="27"/>
      <c r="F64" s="7" t="str">
        <f t="shared" si="0"/>
        <v>Viljandi maakond</v>
      </c>
      <c r="G64" s="7">
        <f t="shared" si="1"/>
        <v>2012</v>
      </c>
      <c r="H64" s="7">
        <v>48604</v>
      </c>
      <c r="I64" s="7">
        <v>3316.19</v>
      </c>
      <c r="Q64" s="26"/>
      <c r="R64" s="27"/>
      <c r="W64" s="26"/>
      <c r="X64" s="27"/>
    </row>
    <row r="65" spans="1:24" x14ac:dyDescent="0.3">
      <c r="A65" s="53"/>
      <c r="B65" s="53" t="s">
        <v>255</v>
      </c>
      <c r="C65" s="53" t="s">
        <v>237</v>
      </c>
      <c r="D65" s="54">
        <v>21.63</v>
      </c>
      <c r="E65" s="27"/>
      <c r="F65" s="7" t="str">
        <f t="shared" si="0"/>
        <v>Võru maakond</v>
      </c>
      <c r="G65" s="7">
        <f t="shared" si="1"/>
        <v>2012</v>
      </c>
      <c r="H65" s="7">
        <v>34178</v>
      </c>
      <c r="I65" s="7">
        <v>632.86</v>
      </c>
      <c r="Q65" s="26"/>
      <c r="R65" s="27"/>
      <c r="W65" s="26"/>
      <c r="X65" s="27"/>
    </row>
    <row r="66" spans="1:24" x14ac:dyDescent="0.3">
      <c r="A66" s="53"/>
      <c r="B66" s="53"/>
      <c r="C66" s="53" t="s">
        <v>252</v>
      </c>
      <c r="D66" s="54">
        <v>81.14</v>
      </c>
      <c r="E66" s="27"/>
      <c r="F66" s="7" t="str">
        <f t="shared" si="0"/>
        <v>Võru maakond</v>
      </c>
      <c r="G66" s="7">
        <f t="shared" si="1"/>
        <v>2012</v>
      </c>
      <c r="H66" s="7">
        <v>34178</v>
      </c>
      <c r="I66" s="7">
        <v>2374.04</v>
      </c>
      <c r="W66" s="26"/>
      <c r="X66" s="27"/>
    </row>
    <row r="67" spans="1:24" x14ac:dyDescent="0.3">
      <c r="A67" s="53"/>
      <c r="B67" s="53"/>
      <c r="C67" s="53" t="s">
        <v>254</v>
      </c>
      <c r="D67" s="54">
        <v>111.32</v>
      </c>
      <c r="E67" s="27"/>
      <c r="F67" s="7" t="str">
        <f t="shared" si="0"/>
        <v>Võru maakond</v>
      </c>
      <c r="G67" s="7">
        <f t="shared" si="1"/>
        <v>2012</v>
      </c>
      <c r="H67" s="7">
        <v>34178</v>
      </c>
      <c r="I67" s="7">
        <v>3257.07</v>
      </c>
      <c r="W67" s="26"/>
      <c r="X67" s="27"/>
    </row>
    <row r="68" spans="1:24" x14ac:dyDescent="0.3">
      <c r="A68" s="53" t="s">
        <v>262</v>
      </c>
      <c r="B68" s="53" t="s">
        <v>250</v>
      </c>
      <c r="C68" s="53" t="s">
        <v>237</v>
      </c>
      <c r="D68" s="54">
        <v>76.430000000000007</v>
      </c>
      <c r="E68" s="27"/>
      <c r="F68" s="7" t="str">
        <f t="shared" si="0"/>
        <v>Harju maakond</v>
      </c>
      <c r="G68" s="7">
        <f t="shared" si="1"/>
        <v>2013</v>
      </c>
      <c r="H68" s="7">
        <v>567967</v>
      </c>
      <c r="I68" s="7">
        <v>134.57</v>
      </c>
      <c r="W68" s="26"/>
      <c r="X68" s="27"/>
    </row>
    <row r="69" spans="1:24" x14ac:dyDescent="0.3">
      <c r="A69" s="53"/>
      <c r="B69" s="53"/>
      <c r="C69" s="53" t="s">
        <v>252</v>
      </c>
      <c r="D69" s="54">
        <v>2371.85</v>
      </c>
      <c r="E69" s="27"/>
      <c r="F69" s="7" t="str">
        <f t="shared" si="0"/>
        <v>Harju maakond</v>
      </c>
      <c r="G69" s="7">
        <f t="shared" si="1"/>
        <v>2013</v>
      </c>
      <c r="H69" s="7">
        <v>567967</v>
      </c>
      <c r="I69" s="7">
        <v>4176.03</v>
      </c>
      <c r="W69" s="26"/>
      <c r="X69" s="27"/>
    </row>
    <row r="70" spans="1:24" x14ac:dyDescent="0.3">
      <c r="A70" s="53"/>
      <c r="B70" s="53"/>
      <c r="C70" s="53" t="s">
        <v>254</v>
      </c>
      <c r="D70" s="54">
        <v>8124.5</v>
      </c>
      <c r="E70" s="27"/>
      <c r="F70" s="7" t="str">
        <f t="shared" si="0"/>
        <v>Harju maakond</v>
      </c>
      <c r="G70" s="7">
        <f t="shared" si="1"/>
        <v>2013</v>
      </c>
      <c r="H70" s="7">
        <v>567967</v>
      </c>
      <c r="I70" s="7">
        <v>14304.53</v>
      </c>
      <c r="W70" s="26"/>
      <c r="X70" s="27"/>
    </row>
    <row r="71" spans="1:24" x14ac:dyDescent="0.3">
      <c r="A71" s="53"/>
      <c r="B71" s="53" t="s">
        <v>239</v>
      </c>
      <c r="C71" s="53" t="s">
        <v>237</v>
      </c>
      <c r="D71" s="54">
        <v>9.9</v>
      </c>
      <c r="E71" s="27"/>
      <c r="F71" s="7" t="str">
        <f t="shared" si="0"/>
        <v>Hiiu maakond</v>
      </c>
      <c r="G71" s="7">
        <f t="shared" si="1"/>
        <v>2013</v>
      </c>
      <c r="H71" s="7">
        <v>8638</v>
      </c>
      <c r="I71" s="7">
        <v>1146.0999999999999</v>
      </c>
      <c r="W71" s="26"/>
      <c r="X71" s="27"/>
    </row>
    <row r="72" spans="1:24" x14ac:dyDescent="0.3">
      <c r="A72" s="53"/>
      <c r="B72" s="53"/>
      <c r="C72" s="53" t="s">
        <v>252</v>
      </c>
      <c r="D72" s="54">
        <v>21.33</v>
      </c>
      <c r="E72" s="27"/>
      <c r="F72" s="7" t="str">
        <f t="shared" si="0"/>
        <v>Hiiu maakond</v>
      </c>
      <c r="G72" s="7">
        <f t="shared" si="1"/>
        <v>2013</v>
      </c>
      <c r="H72" s="7">
        <v>8638</v>
      </c>
      <c r="I72" s="7">
        <v>2469.3200000000002</v>
      </c>
      <c r="W72" s="26"/>
      <c r="X72" s="27"/>
    </row>
    <row r="73" spans="1:24" x14ac:dyDescent="0.3">
      <c r="A73" s="53"/>
      <c r="B73" s="53"/>
      <c r="C73" s="53" t="s">
        <v>254</v>
      </c>
      <c r="D73" s="54">
        <v>27.75</v>
      </c>
      <c r="E73" s="27"/>
      <c r="F73" s="7" t="str">
        <f t="shared" si="0"/>
        <v>Hiiu maakond</v>
      </c>
      <c r="G73" s="7">
        <f t="shared" si="1"/>
        <v>2013</v>
      </c>
      <c r="H73" s="7">
        <v>8638</v>
      </c>
      <c r="I73" s="7">
        <v>3212.55</v>
      </c>
      <c r="W73" s="26"/>
      <c r="X73" s="27"/>
    </row>
    <row r="74" spans="1:24" x14ac:dyDescent="0.3">
      <c r="A74" s="53"/>
      <c r="B74" s="53" t="s">
        <v>257</v>
      </c>
      <c r="C74" s="53" t="s">
        <v>237</v>
      </c>
      <c r="D74" s="54">
        <v>14.86</v>
      </c>
      <c r="E74" s="27"/>
      <c r="F74" s="7" t="str">
        <f t="shared" si="0"/>
        <v>Ida-Viru maakond</v>
      </c>
      <c r="G74" s="7">
        <f t="shared" si="1"/>
        <v>2013</v>
      </c>
      <c r="H74" s="7">
        <v>151909</v>
      </c>
      <c r="I74" s="7">
        <v>97.82</v>
      </c>
      <c r="W74" s="26"/>
      <c r="X74" s="27"/>
    </row>
    <row r="75" spans="1:24" x14ac:dyDescent="0.3">
      <c r="A75" s="53"/>
      <c r="B75" s="53"/>
      <c r="C75" s="53" t="s">
        <v>252</v>
      </c>
      <c r="D75" s="54">
        <v>801.27</v>
      </c>
      <c r="E75" s="27"/>
      <c r="F75" s="7" t="str">
        <f t="shared" si="0"/>
        <v>Ida-Viru maakond</v>
      </c>
      <c r="G75" s="7">
        <f t="shared" si="1"/>
        <v>2013</v>
      </c>
      <c r="H75" s="7">
        <v>151909</v>
      </c>
      <c r="I75" s="7">
        <v>5274.67</v>
      </c>
      <c r="W75" s="26"/>
      <c r="X75" s="27"/>
    </row>
    <row r="76" spans="1:24" x14ac:dyDescent="0.3">
      <c r="A76" s="53"/>
      <c r="B76" s="53"/>
      <c r="C76" s="53" t="s">
        <v>254</v>
      </c>
      <c r="D76" s="54">
        <v>451.03</v>
      </c>
      <c r="E76" s="27"/>
      <c r="F76" s="7" t="str">
        <f t="shared" si="0"/>
        <v>Ida-Viru maakond</v>
      </c>
      <c r="G76" s="7">
        <f t="shared" si="1"/>
        <v>2013</v>
      </c>
      <c r="H76" s="7">
        <v>151909</v>
      </c>
      <c r="I76" s="7">
        <v>2969.08</v>
      </c>
      <c r="W76" s="26"/>
      <c r="X76" s="27"/>
    </row>
    <row r="77" spans="1:24" x14ac:dyDescent="0.3">
      <c r="A77" s="53"/>
      <c r="B77" s="53" t="s">
        <v>240</v>
      </c>
      <c r="C77" s="53" t="s">
        <v>237</v>
      </c>
      <c r="D77" s="54">
        <v>46.07</v>
      </c>
      <c r="E77" s="27"/>
      <c r="F77" s="7" t="str">
        <f t="shared" si="0"/>
        <v>Jõgeva maakond</v>
      </c>
      <c r="G77" s="7">
        <f t="shared" si="1"/>
        <v>2013</v>
      </c>
      <c r="H77" s="7">
        <v>31587</v>
      </c>
      <c r="I77" s="7">
        <v>1458.51</v>
      </c>
      <c r="W77" s="26"/>
      <c r="X77" s="27"/>
    </row>
    <row r="78" spans="1:24" x14ac:dyDescent="0.3">
      <c r="A78" s="53"/>
      <c r="B78" s="53"/>
      <c r="C78" s="53" t="s">
        <v>252</v>
      </c>
      <c r="D78" s="54">
        <v>62.58</v>
      </c>
      <c r="E78" s="27"/>
      <c r="F78" s="7" t="str">
        <f t="shared" si="0"/>
        <v>Jõgeva maakond</v>
      </c>
      <c r="G78" s="7">
        <f t="shared" si="1"/>
        <v>2013</v>
      </c>
      <c r="H78" s="7">
        <v>31587</v>
      </c>
      <c r="I78" s="7">
        <v>1981.19</v>
      </c>
      <c r="W78" s="26"/>
      <c r="X78" s="27"/>
    </row>
    <row r="79" spans="1:24" x14ac:dyDescent="0.3">
      <c r="A79" s="53"/>
      <c r="B79" s="53"/>
      <c r="C79" s="53" t="s">
        <v>254</v>
      </c>
      <c r="D79" s="54">
        <v>75.34</v>
      </c>
      <c r="E79" s="27"/>
      <c r="F79" s="7" t="str">
        <f t="shared" si="0"/>
        <v>Jõgeva maakond</v>
      </c>
      <c r="G79" s="7">
        <f t="shared" si="1"/>
        <v>2013</v>
      </c>
      <c r="H79" s="7">
        <v>31587</v>
      </c>
      <c r="I79" s="7">
        <v>2385.16</v>
      </c>
      <c r="W79" s="26"/>
      <c r="X79" s="27"/>
    </row>
    <row r="80" spans="1:24" x14ac:dyDescent="0.3">
      <c r="A80" s="53"/>
      <c r="B80" s="53" t="s">
        <v>241</v>
      </c>
      <c r="C80" s="53" t="s">
        <v>237</v>
      </c>
      <c r="D80" s="54">
        <v>36.53</v>
      </c>
      <c r="E80" s="27"/>
      <c r="F80" s="7" t="str">
        <f t="shared" si="0"/>
        <v>Järva maakond</v>
      </c>
      <c r="G80" s="7">
        <f t="shared" si="1"/>
        <v>2013</v>
      </c>
      <c r="H80" s="7">
        <v>30913</v>
      </c>
      <c r="I80" s="7">
        <v>1181.7</v>
      </c>
      <c r="W80" s="26"/>
      <c r="X80" s="27"/>
    </row>
    <row r="81" spans="1:24" x14ac:dyDescent="0.3">
      <c r="A81" s="53"/>
      <c r="B81" s="53"/>
      <c r="C81" s="53" t="s">
        <v>252</v>
      </c>
      <c r="D81" s="54">
        <v>92.82</v>
      </c>
      <c r="E81" s="27"/>
      <c r="F81" s="7" t="str">
        <f t="shared" si="0"/>
        <v>Järva maakond</v>
      </c>
      <c r="G81" s="7">
        <f t="shared" si="1"/>
        <v>2013</v>
      </c>
      <c r="H81" s="7">
        <v>30913</v>
      </c>
      <c r="I81" s="7">
        <v>3002.62</v>
      </c>
      <c r="W81" s="26"/>
      <c r="X81" s="27"/>
    </row>
    <row r="82" spans="1:24" x14ac:dyDescent="0.3">
      <c r="A82" s="53"/>
      <c r="B82" s="53"/>
      <c r="C82" s="53" t="s">
        <v>254</v>
      </c>
      <c r="D82" s="54">
        <v>101.21</v>
      </c>
      <c r="E82" s="27"/>
      <c r="F82" s="7" t="str">
        <f t="shared" si="0"/>
        <v>Järva maakond</v>
      </c>
      <c r="G82" s="7">
        <f t="shared" si="1"/>
        <v>2013</v>
      </c>
      <c r="H82" s="7">
        <v>30913</v>
      </c>
      <c r="I82" s="7">
        <v>3274.03</v>
      </c>
      <c r="W82" s="26"/>
      <c r="X82" s="27"/>
    </row>
    <row r="83" spans="1:24" x14ac:dyDescent="0.3">
      <c r="A83" s="53"/>
      <c r="B83" s="53" t="s">
        <v>258</v>
      </c>
      <c r="C83" s="53" t="s">
        <v>237</v>
      </c>
      <c r="D83" s="54">
        <v>14.92</v>
      </c>
      <c r="E83" s="27"/>
      <c r="F83" s="7" t="str">
        <f t="shared" si="0"/>
        <v>Lääne maakond</v>
      </c>
      <c r="G83" s="7">
        <f t="shared" si="1"/>
        <v>2013</v>
      </c>
      <c r="H83" s="7">
        <v>24622</v>
      </c>
      <c r="I83" s="7">
        <v>605.96</v>
      </c>
      <c r="W83" s="26"/>
      <c r="X83" s="27"/>
    </row>
    <row r="84" spans="1:24" x14ac:dyDescent="0.3">
      <c r="A84" s="53"/>
      <c r="B84" s="53"/>
      <c r="C84" s="53" t="s">
        <v>252</v>
      </c>
      <c r="D84" s="54">
        <v>59.21</v>
      </c>
      <c r="E84" s="27"/>
      <c r="F84" s="7" t="str">
        <f t="shared" si="0"/>
        <v>Lääne maakond</v>
      </c>
      <c r="G84" s="7">
        <f t="shared" si="1"/>
        <v>2013</v>
      </c>
      <c r="H84" s="7">
        <v>24622</v>
      </c>
      <c r="I84" s="7">
        <v>2404.7600000000002</v>
      </c>
      <c r="W84" s="26"/>
      <c r="X84" s="27"/>
    </row>
    <row r="85" spans="1:24" x14ac:dyDescent="0.3">
      <c r="A85" s="53"/>
      <c r="B85" s="53"/>
      <c r="C85" s="53" t="s">
        <v>254</v>
      </c>
      <c r="D85" s="54">
        <v>94.53</v>
      </c>
      <c r="E85" s="27"/>
      <c r="F85" s="7" t="str">
        <f t="shared" si="0"/>
        <v>Lääne maakond</v>
      </c>
      <c r="G85" s="7">
        <f t="shared" si="1"/>
        <v>2013</v>
      </c>
      <c r="H85" s="7">
        <v>24622</v>
      </c>
      <c r="I85" s="7">
        <v>3839.25</v>
      </c>
      <c r="W85" s="26"/>
      <c r="X85" s="27"/>
    </row>
    <row r="86" spans="1:24" x14ac:dyDescent="0.3">
      <c r="A86" s="53"/>
      <c r="B86" s="53" t="s">
        <v>242</v>
      </c>
      <c r="C86" s="53" t="s">
        <v>237</v>
      </c>
      <c r="D86" s="54">
        <v>58.66</v>
      </c>
      <c r="E86" s="27"/>
      <c r="F86" s="7" t="str">
        <f t="shared" si="0"/>
        <v>Lääne-Viru maakond</v>
      </c>
      <c r="G86" s="7">
        <f t="shared" si="1"/>
        <v>2013</v>
      </c>
      <c r="H86" s="7">
        <v>60518</v>
      </c>
      <c r="I86" s="7">
        <v>969.3</v>
      </c>
      <c r="W86" s="26"/>
      <c r="X86" s="27"/>
    </row>
    <row r="87" spans="1:24" x14ac:dyDescent="0.3">
      <c r="A87" s="53"/>
      <c r="B87" s="53"/>
      <c r="C87" s="53" t="s">
        <v>252</v>
      </c>
      <c r="D87" s="54">
        <v>202.38</v>
      </c>
      <c r="E87" s="27"/>
      <c r="F87" s="7" t="str">
        <f t="shared" si="0"/>
        <v>Lääne-Viru maakond</v>
      </c>
      <c r="G87" s="7">
        <f t="shared" si="1"/>
        <v>2013</v>
      </c>
      <c r="H87" s="7">
        <v>60518</v>
      </c>
      <c r="I87" s="7">
        <v>3344.13</v>
      </c>
      <c r="W87" s="26"/>
      <c r="X87" s="27"/>
    </row>
    <row r="88" spans="1:24" x14ac:dyDescent="0.3">
      <c r="A88" s="53"/>
      <c r="B88" s="53"/>
      <c r="C88" s="53" t="s">
        <v>254</v>
      </c>
      <c r="D88" s="54">
        <v>195.13</v>
      </c>
      <c r="E88" s="27"/>
      <c r="F88" s="7" t="str">
        <f t="shared" ref="F88:F151" si="2">IF(NOT(ISBLANK(B88)),B88,F87)</f>
        <v>Lääne-Viru maakond</v>
      </c>
      <c r="G88" s="7">
        <f t="shared" ref="G88:G151" si="3">_xlfn.NUMBERVALUE(IF(NOT(ISBLANK(A88)),A88,G87))</f>
        <v>2013</v>
      </c>
      <c r="H88" s="7">
        <v>60518</v>
      </c>
      <c r="I88" s="7">
        <v>3224.33</v>
      </c>
      <c r="W88" s="26"/>
      <c r="X88" s="27"/>
    </row>
    <row r="89" spans="1:24" x14ac:dyDescent="0.3">
      <c r="A89" s="53"/>
      <c r="B89" s="53" t="s">
        <v>248</v>
      </c>
      <c r="C89" s="53" t="s">
        <v>237</v>
      </c>
      <c r="D89" s="54">
        <v>21.6</v>
      </c>
      <c r="E89" s="27"/>
      <c r="F89" s="7" t="str">
        <f t="shared" si="2"/>
        <v>Põlva maakond</v>
      </c>
      <c r="G89" s="7">
        <f t="shared" si="3"/>
        <v>2013</v>
      </c>
      <c r="H89" s="7">
        <v>27816</v>
      </c>
      <c r="I89" s="7">
        <v>776.53</v>
      </c>
      <c r="W89" s="26"/>
      <c r="X89" s="27"/>
    </row>
    <row r="90" spans="1:24" x14ac:dyDescent="0.3">
      <c r="A90" s="53"/>
      <c r="B90" s="53"/>
      <c r="C90" s="53" t="s">
        <v>252</v>
      </c>
      <c r="D90" s="54">
        <v>46.62</v>
      </c>
      <c r="E90" s="27"/>
      <c r="F90" s="7" t="str">
        <f t="shared" si="2"/>
        <v>Põlva maakond</v>
      </c>
      <c r="G90" s="7">
        <f t="shared" si="3"/>
        <v>2013</v>
      </c>
      <c r="H90" s="7">
        <v>27816</v>
      </c>
      <c r="I90" s="7">
        <v>1676.01</v>
      </c>
      <c r="W90" s="26"/>
      <c r="X90" s="27"/>
    </row>
    <row r="91" spans="1:24" x14ac:dyDescent="0.3">
      <c r="A91" s="53"/>
      <c r="B91" s="53"/>
      <c r="C91" s="53" t="s">
        <v>254</v>
      </c>
      <c r="D91" s="54">
        <v>81.430000000000007</v>
      </c>
      <c r="E91" s="27"/>
      <c r="F91" s="7" t="str">
        <f t="shared" si="2"/>
        <v>Põlva maakond</v>
      </c>
      <c r="G91" s="7">
        <f t="shared" si="3"/>
        <v>2013</v>
      </c>
      <c r="H91" s="7">
        <v>27816</v>
      </c>
      <c r="I91" s="7">
        <v>2927.45</v>
      </c>
      <c r="W91" s="26"/>
      <c r="X91" s="27"/>
    </row>
    <row r="92" spans="1:24" x14ac:dyDescent="0.3">
      <c r="A92" s="53"/>
      <c r="B92" s="53" t="s">
        <v>259</v>
      </c>
      <c r="C92" s="53" t="s">
        <v>237</v>
      </c>
      <c r="D92" s="54">
        <v>60.86</v>
      </c>
      <c r="E92" s="27"/>
      <c r="F92" s="7" t="str">
        <f t="shared" si="2"/>
        <v>Pärnu maakond</v>
      </c>
      <c r="G92" s="7">
        <f t="shared" si="3"/>
        <v>2013</v>
      </c>
      <c r="H92" s="7">
        <v>83677</v>
      </c>
      <c r="I92" s="7">
        <v>727.32</v>
      </c>
      <c r="W92" s="26"/>
      <c r="X92" s="27"/>
    </row>
    <row r="93" spans="1:24" x14ac:dyDescent="0.3">
      <c r="A93" s="53"/>
      <c r="B93" s="53"/>
      <c r="C93" s="53" t="s">
        <v>252</v>
      </c>
      <c r="D93" s="54">
        <v>242.13</v>
      </c>
      <c r="E93" s="27"/>
      <c r="F93" s="7" t="str">
        <f t="shared" si="2"/>
        <v>Pärnu maakond</v>
      </c>
      <c r="G93" s="7">
        <f t="shared" si="3"/>
        <v>2013</v>
      </c>
      <c r="H93" s="7">
        <v>83677</v>
      </c>
      <c r="I93" s="7">
        <v>2893.63</v>
      </c>
      <c r="W93" s="26"/>
      <c r="X93" s="27"/>
    </row>
    <row r="94" spans="1:24" x14ac:dyDescent="0.3">
      <c r="A94" s="53"/>
      <c r="B94" s="53"/>
      <c r="C94" s="53" t="s">
        <v>254</v>
      </c>
      <c r="D94" s="54">
        <v>384.01</v>
      </c>
      <c r="E94" s="27"/>
      <c r="F94" s="7" t="str">
        <f t="shared" si="2"/>
        <v>Pärnu maakond</v>
      </c>
      <c r="G94" s="7">
        <f t="shared" si="3"/>
        <v>2013</v>
      </c>
      <c r="H94" s="7">
        <v>83677</v>
      </c>
      <c r="I94" s="7">
        <v>4589.1899999999996</v>
      </c>
      <c r="W94" s="26"/>
      <c r="X94" s="27"/>
    </row>
    <row r="95" spans="1:24" x14ac:dyDescent="0.3">
      <c r="A95" s="53"/>
      <c r="B95" s="53" t="s">
        <v>256</v>
      </c>
      <c r="C95" s="53" t="s">
        <v>237</v>
      </c>
      <c r="D95" s="54">
        <v>25.6</v>
      </c>
      <c r="E95" s="27"/>
      <c r="F95" s="7" t="str">
        <f t="shared" si="2"/>
        <v>Rapla maakond</v>
      </c>
      <c r="G95" s="7">
        <f t="shared" si="3"/>
        <v>2013</v>
      </c>
      <c r="H95" s="7">
        <v>35069</v>
      </c>
      <c r="I95" s="7">
        <v>729.99</v>
      </c>
      <c r="W95" s="26"/>
      <c r="X95" s="27"/>
    </row>
    <row r="96" spans="1:24" x14ac:dyDescent="0.3">
      <c r="A96" s="53"/>
      <c r="B96" s="53"/>
      <c r="C96" s="53" t="s">
        <v>252</v>
      </c>
      <c r="D96" s="54">
        <v>71.25</v>
      </c>
      <c r="E96" s="27"/>
      <c r="F96" s="7" t="str">
        <f t="shared" si="2"/>
        <v>Rapla maakond</v>
      </c>
      <c r="G96" s="7">
        <f t="shared" si="3"/>
        <v>2013</v>
      </c>
      <c r="H96" s="7">
        <v>35069</v>
      </c>
      <c r="I96" s="7">
        <v>2031.71</v>
      </c>
      <c r="W96" s="26"/>
      <c r="X96" s="27"/>
    </row>
    <row r="97" spans="1:24" x14ac:dyDescent="0.3">
      <c r="A97" s="53"/>
      <c r="B97" s="53"/>
      <c r="C97" s="53" t="s">
        <v>254</v>
      </c>
      <c r="D97" s="54">
        <v>124.84</v>
      </c>
      <c r="E97" s="27"/>
      <c r="F97" s="7" t="str">
        <f t="shared" si="2"/>
        <v>Rapla maakond</v>
      </c>
      <c r="G97" s="7">
        <f t="shared" si="3"/>
        <v>2013</v>
      </c>
      <c r="H97" s="7">
        <v>35069</v>
      </c>
      <c r="I97" s="7">
        <v>3559.84</v>
      </c>
      <c r="W97" s="26"/>
      <c r="X97" s="27"/>
    </row>
    <row r="98" spans="1:24" x14ac:dyDescent="0.3">
      <c r="A98" s="53"/>
      <c r="B98" s="53" t="s">
        <v>260</v>
      </c>
      <c r="C98" s="53" t="s">
        <v>237</v>
      </c>
      <c r="D98" s="54">
        <v>17.73</v>
      </c>
      <c r="E98" s="27"/>
      <c r="F98" s="7" t="str">
        <f t="shared" si="2"/>
        <v>Saare maakond</v>
      </c>
      <c r="G98" s="7">
        <f t="shared" si="3"/>
        <v>2013</v>
      </c>
      <c r="H98" s="7">
        <v>31815</v>
      </c>
      <c r="I98" s="7">
        <v>557.28</v>
      </c>
      <c r="W98" s="26"/>
      <c r="X98" s="27"/>
    </row>
    <row r="99" spans="1:24" x14ac:dyDescent="0.3">
      <c r="A99" s="53"/>
      <c r="B99" s="53"/>
      <c r="C99" s="53" t="s">
        <v>252</v>
      </c>
      <c r="D99" s="54">
        <v>99.75</v>
      </c>
      <c r="E99" s="27"/>
      <c r="F99" s="7" t="str">
        <f t="shared" si="2"/>
        <v>Saare maakond</v>
      </c>
      <c r="G99" s="7">
        <f t="shared" si="3"/>
        <v>2013</v>
      </c>
      <c r="H99" s="7">
        <v>31815</v>
      </c>
      <c r="I99" s="7">
        <v>3135.31</v>
      </c>
      <c r="W99" s="26"/>
      <c r="X99" s="27"/>
    </row>
    <row r="100" spans="1:24" x14ac:dyDescent="0.3">
      <c r="A100" s="53"/>
      <c r="B100" s="53"/>
      <c r="C100" s="53" t="s">
        <v>254</v>
      </c>
      <c r="D100" s="54">
        <v>157.49</v>
      </c>
      <c r="E100" s="27"/>
      <c r="F100" s="7" t="str">
        <f t="shared" si="2"/>
        <v>Saare maakond</v>
      </c>
      <c r="G100" s="7">
        <f t="shared" si="3"/>
        <v>2013</v>
      </c>
      <c r="H100" s="7">
        <v>31815</v>
      </c>
      <c r="I100" s="7">
        <v>4950.18</v>
      </c>
      <c r="W100" s="26"/>
      <c r="X100" s="27"/>
    </row>
    <row r="101" spans="1:24" x14ac:dyDescent="0.3">
      <c r="A101" s="53"/>
      <c r="B101" s="53" t="s">
        <v>261</v>
      </c>
      <c r="C101" s="53" t="s">
        <v>237</v>
      </c>
      <c r="D101" s="54">
        <v>73.86</v>
      </c>
      <c r="E101" s="27"/>
      <c r="F101" s="7" t="str">
        <f t="shared" si="2"/>
        <v>Tartu maakond</v>
      </c>
      <c r="G101" s="7">
        <f t="shared" si="3"/>
        <v>2013</v>
      </c>
      <c r="H101" s="7">
        <v>153100</v>
      </c>
      <c r="I101" s="7">
        <v>482.43</v>
      </c>
      <c r="W101" s="26"/>
      <c r="X101" s="27"/>
    </row>
    <row r="102" spans="1:24" x14ac:dyDescent="0.3">
      <c r="A102" s="53"/>
      <c r="B102" s="53"/>
      <c r="C102" s="53" t="s">
        <v>252</v>
      </c>
      <c r="D102" s="54">
        <v>431.84</v>
      </c>
      <c r="E102" s="27"/>
      <c r="F102" s="7" t="str">
        <f t="shared" si="2"/>
        <v>Tartu maakond</v>
      </c>
      <c r="G102" s="7">
        <f t="shared" si="3"/>
        <v>2013</v>
      </c>
      <c r="H102" s="7">
        <v>153100</v>
      </c>
      <c r="I102" s="7">
        <v>2820.64</v>
      </c>
      <c r="W102" s="26"/>
      <c r="X102" s="27"/>
    </row>
    <row r="103" spans="1:24" x14ac:dyDescent="0.3">
      <c r="A103" s="53"/>
      <c r="B103" s="53"/>
      <c r="C103" s="53" t="s">
        <v>254</v>
      </c>
      <c r="D103" s="54">
        <v>1110.3800000000001</v>
      </c>
      <c r="E103" s="27"/>
      <c r="F103" s="7" t="str">
        <f t="shared" si="2"/>
        <v>Tartu maakond</v>
      </c>
      <c r="G103" s="7">
        <f t="shared" si="3"/>
        <v>2013</v>
      </c>
      <c r="H103" s="7">
        <v>153100</v>
      </c>
      <c r="I103" s="7">
        <v>7252.65</v>
      </c>
      <c r="W103" s="26"/>
      <c r="X103" s="27"/>
    </row>
    <row r="104" spans="1:24" x14ac:dyDescent="0.3">
      <c r="A104" s="53"/>
      <c r="B104" s="53" t="s">
        <v>253</v>
      </c>
      <c r="C104" s="53" t="s">
        <v>237</v>
      </c>
      <c r="D104" s="54">
        <v>29.35</v>
      </c>
      <c r="E104" s="27"/>
      <c r="F104" s="7" t="str">
        <f t="shared" si="2"/>
        <v>Valga maakond</v>
      </c>
      <c r="G104" s="7">
        <f t="shared" si="3"/>
        <v>2013</v>
      </c>
      <c r="H104" s="7">
        <v>30590</v>
      </c>
      <c r="I104" s="7">
        <v>959.46</v>
      </c>
      <c r="W104" s="26"/>
      <c r="X104" s="27"/>
    </row>
    <row r="105" spans="1:24" x14ac:dyDescent="0.3">
      <c r="A105" s="53"/>
      <c r="B105" s="53"/>
      <c r="C105" s="53" t="s">
        <v>252</v>
      </c>
      <c r="D105" s="54">
        <v>69.510000000000005</v>
      </c>
      <c r="E105" s="27"/>
      <c r="F105" s="7" t="str">
        <f t="shared" si="2"/>
        <v>Valga maakond</v>
      </c>
      <c r="G105" s="7">
        <f t="shared" si="3"/>
        <v>2013</v>
      </c>
      <c r="H105" s="7">
        <v>30590</v>
      </c>
      <c r="I105" s="7">
        <v>2272.31</v>
      </c>
      <c r="W105" s="26"/>
      <c r="X105" s="27"/>
    </row>
    <row r="106" spans="1:24" x14ac:dyDescent="0.3">
      <c r="A106" s="53"/>
      <c r="B106" s="53"/>
      <c r="C106" s="53" t="s">
        <v>254</v>
      </c>
      <c r="D106" s="54">
        <v>83.16</v>
      </c>
      <c r="E106" s="27"/>
      <c r="F106" s="7" t="str">
        <f t="shared" si="2"/>
        <v>Valga maakond</v>
      </c>
      <c r="G106" s="7">
        <f t="shared" si="3"/>
        <v>2013</v>
      </c>
      <c r="H106" s="7">
        <v>30590</v>
      </c>
      <c r="I106" s="7">
        <v>2718.54</v>
      </c>
      <c r="W106" s="26"/>
      <c r="X106" s="27"/>
    </row>
    <row r="107" spans="1:24" x14ac:dyDescent="0.3">
      <c r="A107" s="53"/>
      <c r="B107" s="53" t="s">
        <v>251</v>
      </c>
      <c r="C107" s="53" t="s">
        <v>237</v>
      </c>
      <c r="D107" s="54">
        <v>65.150000000000006</v>
      </c>
      <c r="E107" s="27"/>
      <c r="F107" s="7" t="str">
        <f t="shared" si="2"/>
        <v>Viljandi maakond</v>
      </c>
      <c r="G107" s="7">
        <f t="shared" si="3"/>
        <v>2013</v>
      </c>
      <c r="H107" s="7">
        <v>48127</v>
      </c>
      <c r="I107" s="7">
        <v>1353.71</v>
      </c>
      <c r="W107" s="26"/>
      <c r="X107" s="27"/>
    </row>
    <row r="108" spans="1:24" x14ac:dyDescent="0.3">
      <c r="A108" s="53"/>
      <c r="B108" s="53"/>
      <c r="C108" s="53" t="s">
        <v>252</v>
      </c>
      <c r="D108" s="54">
        <v>133.49</v>
      </c>
      <c r="E108" s="27"/>
      <c r="F108" s="7" t="str">
        <f t="shared" si="2"/>
        <v>Viljandi maakond</v>
      </c>
      <c r="G108" s="7">
        <f t="shared" si="3"/>
        <v>2013</v>
      </c>
      <c r="H108" s="7">
        <v>48127</v>
      </c>
      <c r="I108" s="7">
        <v>2773.7</v>
      </c>
      <c r="W108" s="26"/>
      <c r="X108" s="27"/>
    </row>
    <row r="109" spans="1:24" x14ac:dyDescent="0.3">
      <c r="A109" s="53"/>
      <c r="B109" s="53"/>
      <c r="C109" s="53" t="s">
        <v>254</v>
      </c>
      <c r="D109" s="54">
        <v>192.06</v>
      </c>
      <c r="E109" s="27"/>
      <c r="F109" s="7" t="str">
        <f t="shared" si="2"/>
        <v>Viljandi maakond</v>
      </c>
      <c r="G109" s="7">
        <f t="shared" si="3"/>
        <v>2013</v>
      </c>
      <c r="H109" s="7">
        <v>48127</v>
      </c>
      <c r="I109" s="7">
        <v>3990.69</v>
      </c>
      <c r="W109" s="26"/>
      <c r="X109" s="27"/>
    </row>
    <row r="110" spans="1:24" x14ac:dyDescent="0.3">
      <c r="A110" s="53"/>
      <c r="B110" s="53" t="s">
        <v>255</v>
      </c>
      <c r="C110" s="53" t="s">
        <v>237</v>
      </c>
      <c r="D110" s="54">
        <v>32.46</v>
      </c>
      <c r="E110" s="27"/>
      <c r="F110" s="7" t="str">
        <f t="shared" si="2"/>
        <v>Võru maakond</v>
      </c>
      <c r="G110" s="7">
        <f t="shared" si="3"/>
        <v>2013</v>
      </c>
      <c r="H110" s="7">
        <v>33826</v>
      </c>
      <c r="I110" s="7">
        <v>959.62</v>
      </c>
      <c r="W110" s="26"/>
      <c r="X110" s="27"/>
    </row>
    <row r="111" spans="1:24" x14ac:dyDescent="0.3">
      <c r="A111" s="53"/>
      <c r="B111" s="53"/>
      <c r="C111" s="53" t="s">
        <v>252</v>
      </c>
      <c r="D111" s="54">
        <v>87.86</v>
      </c>
      <c r="E111" s="27"/>
      <c r="F111" s="7" t="str">
        <f t="shared" si="2"/>
        <v>Võru maakond</v>
      </c>
      <c r="G111" s="7">
        <f t="shared" si="3"/>
        <v>2013</v>
      </c>
      <c r="H111" s="7">
        <v>33826</v>
      </c>
      <c r="I111" s="7">
        <v>2597.41</v>
      </c>
      <c r="W111" s="26"/>
      <c r="X111" s="27"/>
    </row>
    <row r="112" spans="1:24" x14ac:dyDescent="0.3">
      <c r="A112" s="53"/>
      <c r="B112" s="53"/>
      <c r="C112" s="53" t="s">
        <v>254</v>
      </c>
      <c r="D112" s="54">
        <v>110</v>
      </c>
      <c r="E112" s="27"/>
      <c r="F112" s="7" t="str">
        <f t="shared" si="2"/>
        <v>Võru maakond</v>
      </c>
      <c r="G112" s="7">
        <f t="shared" si="3"/>
        <v>2013</v>
      </c>
      <c r="H112" s="7">
        <v>33826</v>
      </c>
      <c r="I112" s="7">
        <v>3251.94</v>
      </c>
      <c r="W112" s="26"/>
      <c r="X112" s="27"/>
    </row>
    <row r="113" spans="1:24" x14ac:dyDescent="0.3">
      <c r="A113" s="53" t="s">
        <v>263</v>
      </c>
      <c r="B113" s="53" t="s">
        <v>250</v>
      </c>
      <c r="C113" s="53" t="s">
        <v>237</v>
      </c>
      <c r="D113" s="54">
        <v>78.849999999999994</v>
      </c>
      <c r="E113" s="27"/>
      <c r="F113" s="7" t="str">
        <f t="shared" si="2"/>
        <v>Harju maakond</v>
      </c>
      <c r="G113" s="7">
        <f t="shared" si="3"/>
        <v>2014</v>
      </c>
      <c r="H113" s="7">
        <v>572103</v>
      </c>
      <c r="I113" s="7">
        <v>137.82</v>
      </c>
      <c r="W113" s="26"/>
      <c r="X113" s="27"/>
    </row>
    <row r="114" spans="1:24" x14ac:dyDescent="0.3">
      <c r="A114" s="53"/>
      <c r="B114" s="53"/>
      <c r="C114" s="53" t="s">
        <v>252</v>
      </c>
      <c r="D114" s="54">
        <v>2523.56</v>
      </c>
      <c r="E114" s="27"/>
      <c r="F114" s="7" t="str">
        <f t="shared" si="2"/>
        <v>Harju maakond</v>
      </c>
      <c r="G114" s="7">
        <f t="shared" si="3"/>
        <v>2014</v>
      </c>
      <c r="H114" s="7">
        <v>572103</v>
      </c>
      <c r="I114" s="7">
        <v>4411.0200000000004</v>
      </c>
      <c r="W114" s="26"/>
      <c r="X114" s="27"/>
    </row>
    <row r="115" spans="1:24" x14ac:dyDescent="0.3">
      <c r="A115" s="53"/>
      <c r="B115" s="53"/>
      <c r="C115" s="53" t="s">
        <v>254</v>
      </c>
      <c r="D115" s="54">
        <v>8732.83</v>
      </c>
      <c r="E115" s="27"/>
      <c r="F115" s="7" t="str">
        <f t="shared" si="2"/>
        <v>Harju maakond</v>
      </c>
      <c r="G115" s="7">
        <f t="shared" si="3"/>
        <v>2014</v>
      </c>
      <c r="H115" s="7">
        <v>572103</v>
      </c>
      <c r="I115" s="7">
        <v>15264.44</v>
      </c>
      <c r="W115" s="26"/>
      <c r="X115" s="27"/>
    </row>
    <row r="116" spans="1:24" x14ac:dyDescent="0.3">
      <c r="A116" s="53"/>
      <c r="B116" s="53" t="s">
        <v>239</v>
      </c>
      <c r="C116" s="53" t="s">
        <v>237</v>
      </c>
      <c r="D116" s="54">
        <v>7.79</v>
      </c>
      <c r="E116" s="27"/>
      <c r="F116" s="7" t="str">
        <f t="shared" si="2"/>
        <v>Hiiu maakond</v>
      </c>
      <c r="G116" s="7">
        <f t="shared" si="3"/>
        <v>2014</v>
      </c>
      <c r="H116" s="7">
        <v>8589</v>
      </c>
      <c r="I116" s="7">
        <v>906.97</v>
      </c>
      <c r="W116" s="26"/>
      <c r="X116" s="27"/>
    </row>
    <row r="117" spans="1:24" x14ac:dyDescent="0.3">
      <c r="A117" s="53"/>
      <c r="B117" s="53"/>
      <c r="C117" s="53" t="s">
        <v>252</v>
      </c>
      <c r="D117" s="54">
        <v>21.24</v>
      </c>
      <c r="E117" s="27"/>
      <c r="F117" s="7" t="str">
        <f t="shared" si="2"/>
        <v>Hiiu maakond</v>
      </c>
      <c r="G117" s="7">
        <f t="shared" si="3"/>
        <v>2014</v>
      </c>
      <c r="H117" s="7">
        <v>8589</v>
      </c>
      <c r="I117" s="7">
        <v>2472.9299999999998</v>
      </c>
      <c r="W117" s="26"/>
      <c r="X117" s="27"/>
    </row>
    <row r="118" spans="1:24" x14ac:dyDescent="0.3">
      <c r="A118" s="53"/>
      <c r="B118" s="53"/>
      <c r="C118" s="53" t="s">
        <v>254</v>
      </c>
      <c r="D118" s="54">
        <v>27</v>
      </c>
      <c r="E118" s="27"/>
      <c r="F118" s="7" t="str">
        <f t="shared" si="2"/>
        <v>Hiiu maakond</v>
      </c>
      <c r="G118" s="7">
        <f t="shared" si="3"/>
        <v>2014</v>
      </c>
      <c r="H118" s="7">
        <v>8589</v>
      </c>
      <c r="I118" s="7">
        <v>3143.56</v>
      </c>
      <c r="W118" s="26"/>
      <c r="X118" s="27"/>
    </row>
    <row r="119" spans="1:24" x14ac:dyDescent="0.3">
      <c r="A119" s="53"/>
      <c r="B119" s="53" t="s">
        <v>257</v>
      </c>
      <c r="C119" s="53" t="s">
        <v>237</v>
      </c>
      <c r="D119" s="54">
        <v>13.83</v>
      </c>
      <c r="E119" s="27"/>
      <c r="F119" s="7" t="str">
        <f t="shared" si="2"/>
        <v>Ida-Viru maakond</v>
      </c>
      <c r="G119" s="7">
        <f t="shared" si="3"/>
        <v>2014</v>
      </c>
      <c r="H119" s="7">
        <v>149483</v>
      </c>
      <c r="I119" s="7">
        <v>92.52</v>
      </c>
      <c r="W119" s="26"/>
      <c r="X119" s="27"/>
    </row>
    <row r="120" spans="1:24" x14ac:dyDescent="0.3">
      <c r="A120" s="53"/>
      <c r="B120" s="53"/>
      <c r="C120" s="53" t="s">
        <v>252</v>
      </c>
      <c r="D120" s="54">
        <v>757.47</v>
      </c>
      <c r="E120" s="27"/>
      <c r="F120" s="7" t="str">
        <f t="shared" si="2"/>
        <v>Ida-Viru maakond</v>
      </c>
      <c r="G120" s="7">
        <f t="shared" si="3"/>
        <v>2014</v>
      </c>
      <c r="H120" s="7">
        <v>149483</v>
      </c>
      <c r="I120" s="7">
        <v>5067.2700000000004</v>
      </c>
      <c r="W120" s="26"/>
      <c r="X120" s="27"/>
    </row>
    <row r="121" spans="1:24" x14ac:dyDescent="0.3">
      <c r="A121" s="53"/>
      <c r="B121" s="53"/>
      <c r="C121" s="53" t="s">
        <v>254</v>
      </c>
      <c r="D121" s="54">
        <v>467.66</v>
      </c>
      <c r="E121" s="27"/>
      <c r="F121" s="7" t="str">
        <f t="shared" si="2"/>
        <v>Ida-Viru maakond</v>
      </c>
      <c r="G121" s="7">
        <f t="shared" si="3"/>
        <v>2014</v>
      </c>
      <c r="H121" s="7">
        <v>149483</v>
      </c>
      <c r="I121" s="7">
        <v>3128.52</v>
      </c>
      <c r="W121" s="26"/>
      <c r="X121" s="27"/>
    </row>
    <row r="122" spans="1:24" x14ac:dyDescent="0.3">
      <c r="A122" s="53"/>
      <c r="B122" s="53" t="s">
        <v>240</v>
      </c>
      <c r="C122" s="53" t="s">
        <v>237</v>
      </c>
      <c r="D122" s="54">
        <v>48.89</v>
      </c>
      <c r="E122" s="27"/>
      <c r="F122" s="7" t="str">
        <f t="shared" si="2"/>
        <v>Jõgeva maakond</v>
      </c>
      <c r="G122" s="7">
        <f t="shared" si="3"/>
        <v>2014</v>
      </c>
      <c r="H122" s="7">
        <v>31145</v>
      </c>
      <c r="I122" s="7">
        <v>1569.75</v>
      </c>
      <c r="W122" s="26"/>
      <c r="X122" s="27"/>
    </row>
    <row r="123" spans="1:24" x14ac:dyDescent="0.3">
      <c r="A123" s="53"/>
      <c r="B123" s="53"/>
      <c r="C123" s="53" t="s">
        <v>252</v>
      </c>
      <c r="D123" s="54">
        <v>59.16</v>
      </c>
      <c r="E123" s="27"/>
      <c r="F123" s="7" t="str">
        <f t="shared" si="2"/>
        <v>Jõgeva maakond</v>
      </c>
      <c r="G123" s="7">
        <f t="shared" si="3"/>
        <v>2014</v>
      </c>
      <c r="H123" s="7">
        <v>31145</v>
      </c>
      <c r="I123" s="7">
        <v>1899.5</v>
      </c>
      <c r="W123" s="26"/>
      <c r="X123" s="27"/>
    </row>
    <row r="124" spans="1:24" x14ac:dyDescent="0.3">
      <c r="A124" s="53"/>
      <c r="B124" s="53"/>
      <c r="C124" s="53" t="s">
        <v>254</v>
      </c>
      <c r="D124" s="54">
        <v>71.459999999999994</v>
      </c>
      <c r="E124" s="27"/>
      <c r="F124" s="7" t="str">
        <f t="shared" si="2"/>
        <v>Jõgeva maakond</v>
      </c>
      <c r="G124" s="7">
        <f t="shared" si="3"/>
        <v>2014</v>
      </c>
      <c r="H124" s="7">
        <v>31145</v>
      </c>
      <c r="I124" s="7">
        <v>2294.4299999999998</v>
      </c>
      <c r="W124" s="26"/>
      <c r="X124" s="27"/>
    </row>
    <row r="125" spans="1:24" x14ac:dyDescent="0.3">
      <c r="A125" s="53"/>
      <c r="B125" s="53" t="s">
        <v>241</v>
      </c>
      <c r="C125" s="53" t="s">
        <v>237</v>
      </c>
      <c r="D125" s="54">
        <v>36.630000000000003</v>
      </c>
      <c r="E125" s="27"/>
      <c r="F125" s="7" t="str">
        <f t="shared" si="2"/>
        <v>Järva maakond</v>
      </c>
      <c r="G125" s="7">
        <f t="shared" si="3"/>
        <v>2014</v>
      </c>
      <c r="H125" s="7">
        <v>30425</v>
      </c>
      <c r="I125" s="7">
        <v>1203.94</v>
      </c>
      <c r="W125" s="26"/>
      <c r="X125" s="27"/>
    </row>
    <row r="126" spans="1:24" x14ac:dyDescent="0.3">
      <c r="A126" s="53"/>
      <c r="B126" s="53"/>
      <c r="C126" s="53" t="s">
        <v>252</v>
      </c>
      <c r="D126" s="54">
        <v>91.01</v>
      </c>
      <c r="E126" s="27"/>
      <c r="F126" s="7" t="str">
        <f t="shared" si="2"/>
        <v>Järva maakond</v>
      </c>
      <c r="G126" s="7">
        <f t="shared" si="3"/>
        <v>2014</v>
      </c>
      <c r="H126" s="7">
        <v>30425</v>
      </c>
      <c r="I126" s="7">
        <v>2991.29</v>
      </c>
      <c r="W126" s="26"/>
      <c r="X126" s="27"/>
    </row>
    <row r="127" spans="1:24" x14ac:dyDescent="0.3">
      <c r="A127" s="53"/>
      <c r="B127" s="53"/>
      <c r="C127" s="53" t="s">
        <v>254</v>
      </c>
      <c r="D127" s="54">
        <v>104.37</v>
      </c>
      <c r="E127" s="27"/>
      <c r="F127" s="7" t="str">
        <f t="shared" si="2"/>
        <v>Järva maakond</v>
      </c>
      <c r="G127" s="7">
        <f t="shared" si="3"/>
        <v>2014</v>
      </c>
      <c r="H127" s="7">
        <v>30425</v>
      </c>
      <c r="I127" s="7">
        <v>3430.4</v>
      </c>
      <c r="W127" s="26"/>
      <c r="X127" s="27"/>
    </row>
    <row r="128" spans="1:24" x14ac:dyDescent="0.3">
      <c r="A128" s="53"/>
      <c r="B128" s="53" t="s">
        <v>258</v>
      </c>
      <c r="C128" s="53" t="s">
        <v>237</v>
      </c>
      <c r="D128" s="54">
        <v>15.08</v>
      </c>
      <c r="E128" s="27"/>
      <c r="F128" s="7" t="str">
        <f t="shared" si="2"/>
        <v>Lääne maakond</v>
      </c>
      <c r="G128" s="7">
        <f t="shared" si="3"/>
        <v>2014</v>
      </c>
      <c r="H128" s="7">
        <v>24323</v>
      </c>
      <c r="I128" s="7">
        <v>619.99</v>
      </c>
      <c r="W128" s="26"/>
      <c r="X128" s="27"/>
    </row>
    <row r="129" spans="1:24" x14ac:dyDescent="0.3">
      <c r="A129" s="53"/>
      <c r="B129" s="53"/>
      <c r="C129" s="53" t="s">
        <v>252</v>
      </c>
      <c r="D129" s="54">
        <v>52.94</v>
      </c>
      <c r="E129" s="27"/>
      <c r="F129" s="7" t="str">
        <f t="shared" si="2"/>
        <v>Lääne maakond</v>
      </c>
      <c r="G129" s="7">
        <f t="shared" si="3"/>
        <v>2014</v>
      </c>
      <c r="H129" s="7">
        <v>24323</v>
      </c>
      <c r="I129" s="7">
        <v>2176.54</v>
      </c>
      <c r="W129" s="26"/>
      <c r="X129" s="27"/>
    </row>
    <row r="130" spans="1:24" x14ac:dyDescent="0.3">
      <c r="A130" s="53"/>
      <c r="B130" s="53"/>
      <c r="C130" s="53" t="s">
        <v>254</v>
      </c>
      <c r="D130" s="54">
        <v>94.62</v>
      </c>
      <c r="E130" s="27"/>
      <c r="F130" s="7" t="str">
        <f t="shared" si="2"/>
        <v>Lääne maakond</v>
      </c>
      <c r="G130" s="7">
        <f t="shared" si="3"/>
        <v>2014</v>
      </c>
      <c r="H130" s="7">
        <v>24323</v>
      </c>
      <c r="I130" s="7">
        <v>3890.15</v>
      </c>
      <c r="W130" s="26"/>
      <c r="X130" s="27"/>
    </row>
    <row r="131" spans="1:24" x14ac:dyDescent="0.3">
      <c r="A131" s="53"/>
      <c r="B131" s="53" t="s">
        <v>242</v>
      </c>
      <c r="C131" s="53" t="s">
        <v>237</v>
      </c>
      <c r="D131" s="54">
        <v>62.98</v>
      </c>
      <c r="E131" s="27"/>
      <c r="F131" s="7" t="str">
        <f t="shared" si="2"/>
        <v>Lääne-Viru maakond</v>
      </c>
      <c r="G131" s="7">
        <f t="shared" si="3"/>
        <v>2014</v>
      </c>
      <c r="H131" s="7">
        <v>59583</v>
      </c>
      <c r="I131" s="7">
        <v>1057.01</v>
      </c>
      <c r="W131" s="26"/>
      <c r="X131" s="27"/>
    </row>
    <row r="132" spans="1:24" x14ac:dyDescent="0.3">
      <c r="A132" s="53"/>
      <c r="B132" s="53"/>
      <c r="C132" s="53" t="s">
        <v>252</v>
      </c>
      <c r="D132" s="54">
        <v>224.92</v>
      </c>
      <c r="E132" s="27"/>
      <c r="F132" s="7" t="str">
        <f t="shared" si="2"/>
        <v>Lääne-Viru maakond</v>
      </c>
      <c r="G132" s="7">
        <f t="shared" si="3"/>
        <v>2014</v>
      </c>
      <c r="H132" s="7">
        <v>59583</v>
      </c>
      <c r="I132" s="7">
        <v>3774.9</v>
      </c>
      <c r="W132" s="26"/>
      <c r="X132" s="27"/>
    </row>
    <row r="133" spans="1:24" x14ac:dyDescent="0.3">
      <c r="A133" s="53"/>
      <c r="B133" s="53"/>
      <c r="C133" s="53" t="s">
        <v>254</v>
      </c>
      <c r="D133" s="54">
        <v>188.59</v>
      </c>
      <c r="E133" s="27"/>
      <c r="F133" s="7" t="str">
        <f t="shared" si="2"/>
        <v>Lääne-Viru maakond</v>
      </c>
      <c r="G133" s="7">
        <f t="shared" si="3"/>
        <v>2014</v>
      </c>
      <c r="H133" s="7">
        <v>59583</v>
      </c>
      <c r="I133" s="7">
        <v>3165.16</v>
      </c>
      <c r="W133" s="26"/>
      <c r="X133" s="27"/>
    </row>
    <row r="134" spans="1:24" x14ac:dyDescent="0.3">
      <c r="A134" s="53"/>
      <c r="B134" s="53" t="s">
        <v>248</v>
      </c>
      <c r="C134" s="53" t="s">
        <v>237</v>
      </c>
      <c r="D134" s="54">
        <v>25.67</v>
      </c>
      <c r="E134" s="27"/>
      <c r="F134" s="7" t="str">
        <f t="shared" si="2"/>
        <v>Põlva maakond</v>
      </c>
      <c r="G134" s="7">
        <f t="shared" si="3"/>
        <v>2014</v>
      </c>
      <c r="H134" s="7">
        <v>27641</v>
      </c>
      <c r="I134" s="7">
        <v>928.69</v>
      </c>
      <c r="W134" s="26"/>
      <c r="X134" s="27"/>
    </row>
    <row r="135" spans="1:24" x14ac:dyDescent="0.3">
      <c r="A135" s="53"/>
      <c r="B135" s="53"/>
      <c r="C135" s="53" t="s">
        <v>252</v>
      </c>
      <c r="D135" s="54">
        <v>43.5</v>
      </c>
      <c r="E135" s="27"/>
      <c r="F135" s="7" t="str">
        <f t="shared" si="2"/>
        <v>Põlva maakond</v>
      </c>
      <c r="G135" s="7">
        <f t="shared" si="3"/>
        <v>2014</v>
      </c>
      <c r="H135" s="7">
        <v>27641</v>
      </c>
      <c r="I135" s="7">
        <v>1573.75</v>
      </c>
      <c r="W135" s="26"/>
      <c r="X135" s="27"/>
    </row>
    <row r="136" spans="1:24" x14ac:dyDescent="0.3">
      <c r="A136" s="53"/>
      <c r="B136" s="53"/>
      <c r="C136" s="53" t="s">
        <v>254</v>
      </c>
      <c r="D136" s="54">
        <v>82.03</v>
      </c>
      <c r="E136" s="27"/>
      <c r="F136" s="7" t="str">
        <f t="shared" si="2"/>
        <v>Põlva maakond</v>
      </c>
      <c r="G136" s="7">
        <f t="shared" si="3"/>
        <v>2014</v>
      </c>
      <c r="H136" s="7">
        <v>27641</v>
      </c>
      <c r="I136" s="7">
        <v>2967.69</v>
      </c>
      <c r="W136" s="26"/>
      <c r="X136" s="27"/>
    </row>
    <row r="137" spans="1:24" x14ac:dyDescent="0.3">
      <c r="A137" s="53"/>
      <c r="B137" s="53" t="s">
        <v>259</v>
      </c>
      <c r="C137" s="53" t="s">
        <v>237</v>
      </c>
      <c r="D137" s="54">
        <v>66.06</v>
      </c>
      <c r="E137" s="27"/>
      <c r="F137" s="7" t="str">
        <f t="shared" si="2"/>
        <v>Pärnu maakond</v>
      </c>
      <c r="G137" s="7">
        <f t="shared" si="3"/>
        <v>2014</v>
      </c>
      <c r="H137" s="7">
        <v>82829</v>
      </c>
      <c r="I137" s="7">
        <v>797.55</v>
      </c>
      <c r="W137" s="26"/>
      <c r="X137" s="27"/>
    </row>
    <row r="138" spans="1:24" x14ac:dyDescent="0.3">
      <c r="A138" s="53"/>
      <c r="B138" s="53"/>
      <c r="C138" s="53" t="s">
        <v>252</v>
      </c>
      <c r="D138" s="54">
        <v>239.83</v>
      </c>
      <c r="E138" s="27"/>
      <c r="F138" s="7" t="str">
        <f t="shared" si="2"/>
        <v>Pärnu maakond</v>
      </c>
      <c r="G138" s="7">
        <f t="shared" si="3"/>
        <v>2014</v>
      </c>
      <c r="H138" s="7">
        <v>82829</v>
      </c>
      <c r="I138" s="7">
        <v>2895.48</v>
      </c>
      <c r="W138" s="26"/>
      <c r="X138" s="27"/>
    </row>
    <row r="139" spans="1:24" x14ac:dyDescent="0.3">
      <c r="A139" s="53"/>
      <c r="B139" s="53"/>
      <c r="C139" s="53" t="s">
        <v>254</v>
      </c>
      <c r="D139" s="54">
        <v>397.06</v>
      </c>
      <c r="E139" s="27"/>
      <c r="F139" s="7" t="str">
        <f t="shared" si="2"/>
        <v>Pärnu maakond</v>
      </c>
      <c r="G139" s="7">
        <f t="shared" si="3"/>
        <v>2014</v>
      </c>
      <c r="H139" s="7">
        <v>82829</v>
      </c>
      <c r="I139" s="7">
        <v>4793.7299999999996</v>
      </c>
      <c r="W139" s="26"/>
      <c r="X139" s="27"/>
    </row>
    <row r="140" spans="1:24" x14ac:dyDescent="0.3">
      <c r="A140" s="53"/>
      <c r="B140" s="53" t="s">
        <v>256</v>
      </c>
      <c r="C140" s="53" t="s">
        <v>237</v>
      </c>
      <c r="D140" s="54">
        <v>38.64</v>
      </c>
      <c r="E140" s="27"/>
      <c r="F140" s="7" t="str">
        <f t="shared" si="2"/>
        <v>Rapla maakond</v>
      </c>
      <c r="G140" s="7">
        <f t="shared" si="3"/>
        <v>2014</v>
      </c>
      <c r="H140" s="7">
        <v>34676</v>
      </c>
      <c r="I140" s="7">
        <v>1114.32</v>
      </c>
      <c r="W140" s="26"/>
      <c r="X140" s="27"/>
    </row>
    <row r="141" spans="1:24" x14ac:dyDescent="0.3">
      <c r="A141" s="53"/>
      <c r="B141" s="53"/>
      <c r="C141" s="53" t="s">
        <v>252</v>
      </c>
      <c r="D141" s="54">
        <v>70.28</v>
      </c>
      <c r="E141" s="27"/>
      <c r="F141" s="7" t="str">
        <f t="shared" si="2"/>
        <v>Rapla maakond</v>
      </c>
      <c r="G141" s="7">
        <f t="shared" si="3"/>
        <v>2014</v>
      </c>
      <c r="H141" s="7">
        <v>34676</v>
      </c>
      <c r="I141" s="7">
        <v>2026.76</v>
      </c>
      <c r="W141" s="26"/>
      <c r="X141" s="27"/>
    </row>
    <row r="142" spans="1:24" x14ac:dyDescent="0.3">
      <c r="A142" s="53"/>
      <c r="B142" s="53"/>
      <c r="C142" s="53" t="s">
        <v>254</v>
      </c>
      <c r="D142" s="54">
        <v>125.21</v>
      </c>
      <c r="E142" s="27"/>
      <c r="F142" s="7" t="str">
        <f t="shared" si="2"/>
        <v>Rapla maakond</v>
      </c>
      <c r="G142" s="7">
        <f t="shared" si="3"/>
        <v>2014</v>
      </c>
      <c r="H142" s="7">
        <v>34676</v>
      </c>
      <c r="I142" s="7">
        <v>3610.85</v>
      </c>
      <c r="W142" s="26"/>
      <c r="X142" s="27"/>
    </row>
    <row r="143" spans="1:24" x14ac:dyDescent="0.3">
      <c r="A143" s="53"/>
      <c r="B143" s="53" t="s">
        <v>260</v>
      </c>
      <c r="C143" s="53" t="s">
        <v>237</v>
      </c>
      <c r="D143" s="54">
        <v>17.010000000000002</v>
      </c>
      <c r="E143" s="27"/>
      <c r="F143" s="7" t="str">
        <f t="shared" si="2"/>
        <v>Saare maakond</v>
      </c>
      <c r="G143" s="7">
        <f t="shared" si="3"/>
        <v>2014</v>
      </c>
      <c r="H143" s="7">
        <v>31756</v>
      </c>
      <c r="I143" s="7">
        <v>535.65</v>
      </c>
      <c r="W143" s="26"/>
      <c r="X143" s="27"/>
    </row>
    <row r="144" spans="1:24" x14ac:dyDescent="0.3">
      <c r="A144" s="53"/>
      <c r="B144" s="53"/>
      <c r="C144" s="53" t="s">
        <v>252</v>
      </c>
      <c r="D144" s="54">
        <v>102.83</v>
      </c>
      <c r="E144" s="27"/>
      <c r="F144" s="7" t="str">
        <f t="shared" si="2"/>
        <v>Saare maakond</v>
      </c>
      <c r="G144" s="7">
        <f t="shared" si="3"/>
        <v>2014</v>
      </c>
      <c r="H144" s="7">
        <v>31756</v>
      </c>
      <c r="I144" s="7">
        <v>3238.13</v>
      </c>
      <c r="W144" s="26"/>
      <c r="X144" s="27"/>
    </row>
    <row r="145" spans="1:24" x14ac:dyDescent="0.3">
      <c r="A145" s="53"/>
      <c r="B145" s="53"/>
      <c r="C145" s="53" t="s">
        <v>254</v>
      </c>
      <c r="D145" s="54">
        <v>160.99</v>
      </c>
      <c r="E145" s="27"/>
      <c r="F145" s="7" t="str">
        <f t="shared" si="2"/>
        <v>Saare maakond</v>
      </c>
      <c r="G145" s="7">
        <f t="shared" si="3"/>
        <v>2014</v>
      </c>
      <c r="H145" s="7">
        <v>31756</v>
      </c>
      <c r="I145" s="7">
        <v>5069.59</v>
      </c>
      <c r="W145" s="26"/>
      <c r="X145" s="27"/>
    </row>
    <row r="146" spans="1:24" x14ac:dyDescent="0.3">
      <c r="A146" s="53"/>
      <c r="B146" s="53" t="s">
        <v>261</v>
      </c>
      <c r="C146" s="53" t="s">
        <v>237</v>
      </c>
      <c r="D146" s="54">
        <v>76.430000000000007</v>
      </c>
      <c r="E146" s="27"/>
      <c r="F146" s="7" t="str">
        <f t="shared" si="2"/>
        <v>Tartu maakond</v>
      </c>
      <c r="G146" s="7">
        <f t="shared" si="3"/>
        <v>2014</v>
      </c>
      <c r="H146" s="7">
        <v>152188</v>
      </c>
      <c r="I146" s="7">
        <v>502.21</v>
      </c>
      <c r="W146" s="26"/>
      <c r="X146" s="27"/>
    </row>
    <row r="147" spans="1:24" x14ac:dyDescent="0.3">
      <c r="A147" s="53"/>
      <c r="B147" s="53"/>
      <c r="C147" s="53" t="s">
        <v>252</v>
      </c>
      <c r="D147" s="54">
        <v>471.41</v>
      </c>
      <c r="E147" s="27"/>
      <c r="F147" s="7" t="str">
        <f t="shared" si="2"/>
        <v>Tartu maakond</v>
      </c>
      <c r="G147" s="7">
        <f t="shared" si="3"/>
        <v>2014</v>
      </c>
      <c r="H147" s="7">
        <v>152188</v>
      </c>
      <c r="I147" s="7">
        <v>3097.55</v>
      </c>
      <c r="W147" s="26"/>
      <c r="X147" s="27"/>
    </row>
    <row r="148" spans="1:24" x14ac:dyDescent="0.3">
      <c r="A148" s="53"/>
      <c r="B148" s="53"/>
      <c r="C148" s="53" t="s">
        <v>254</v>
      </c>
      <c r="D148" s="54">
        <v>1180.22</v>
      </c>
      <c r="E148" s="27"/>
      <c r="F148" s="7" t="str">
        <f t="shared" si="2"/>
        <v>Tartu maakond</v>
      </c>
      <c r="G148" s="7">
        <f t="shared" si="3"/>
        <v>2014</v>
      </c>
      <c r="H148" s="7">
        <v>152188</v>
      </c>
      <c r="I148" s="7">
        <v>7755.01</v>
      </c>
      <c r="W148" s="26"/>
      <c r="X148" s="27"/>
    </row>
    <row r="149" spans="1:24" x14ac:dyDescent="0.3">
      <c r="A149" s="53"/>
      <c r="B149" s="53" t="s">
        <v>253</v>
      </c>
      <c r="C149" s="53" t="s">
        <v>237</v>
      </c>
      <c r="D149" s="54">
        <v>33.200000000000003</v>
      </c>
      <c r="E149" s="27"/>
      <c r="F149" s="7" t="str">
        <f t="shared" si="2"/>
        <v>Valga maakond</v>
      </c>
      <c r="G149" s="7">
        <f t="shared" si="3"/>
        <v>2014</v>
      </c>
      <c r="H149" s="7">
        <v>30176</v>
      </c>
      <c r="I149" s="7">
        <v>1100.21</v>
      </c>
      <c r="W149" s="26"/>
      <c r="X149" s="27"/>
    </row>
    <row r="150" spans="1:24" x14ac:dyDescent="0.3">
      <c r="A150" s="53"/>
      <c r="B150" s="53"/>
      <c r="C150" s="53" t="s">
        <v>252</v>
      </c>
      <c r="D150" s="54">
        <v>71.849999999999994</v>
      </c>
      <c r="E150" s="27"/>
      <c r="F150" s="7" t="str">
        <f t="shared" si="2"/>
        <v>Valga maakond</v>
      </c>
      <c r="G150" s="7">
        <f t="shared" si="3"/>
        <v>2014</v>
      </c>
      <c r="H150" s="7">
        <v>30176</v>
      </c>
      <c r="I150" s="7">
        <v>2381.0300000000002</v>
      </c>
      <c r="W150" s="26"/>
      <c r="X150" s="27"/>
    </row>
    <row r="151" spans="1:24" x14ac:dyDescent="0.3">
      <c r="A151" s="53"/>
      <c r="B151" s="53"/>
      <c r="C151" s="53" t="s">
        <v>254</v>
      </c>
      <c r="D151" s="54">
        <v>87.15</v>
      </c>
      <c r="E151" s="27"/>
      <c r="F151" s="7" t="str">
        <f t="shared" si="2"/>
        <v>Valga maakond</v>
      </c>
      <c r="G151" s="7">
        <f t="shared" si="3"/>
        <v>2014</v>
      </c>
      <c r="H151" s="7">
        <v>30176</v>
      </c>
      <c r="I151" s="7">
        <v>2888.06</v>
      </c>
      <c r="W151" s="26"/>
      <c r="X151" s="27"/>
    </row>
    <row r="152" spans="1:24" x14ac:dyDescent="0.3">
      <c r="A152" s="53"/>
      <c r="B152" s="53" t="s">
        <v>251</v>
      </c>
      <c r="C152" s="53" t="s">
        <v>237</v>
      </c>
      <c r="D152" s="54">
        <v>79.989999999999995</v>
      </c>
      <c r="E152" s="27"/>
      <c r="F152" s="7" t="str">
        <f t="shared" ref="F152:F215" si="4">IF(NOT(ISBLANK(B152)),B152,F151)</f>
        <v>Viljandi maakond</v>
      </c>
      <c r="G152" s="7">
        <f t="shared" ref="G152:G215" si="5">_xlfn.NUMBERVALUE(IF(NOT(ISBLANK(A152)),A152,G151))</f>
        <v>2014</v>
      </c>
      <c r="H152" s="7">
        <v>47476</v>
      </c>
      <c r="I152" s="7">
        <v>1684.85</v>
      </c>
      <c r="W152" s="26"/>
      <c r="X152" s="27"/>
    </row>
    <row r="153" spans="1:24" x14ac:dyDescent="0.3">
      <c r="A153" s="53"/>
      <c r="B153" s="53"/>
      <c r="C153" s="53" t="s">
        <v>252</v>
      </c>
      <c r="D153" s="54">
        <v>146.25</v>
      </c>
      <c r="E153" s="27"/>
      <c r="F153" s="7" t="str">
        <f t="shared" si="4"/>
        <v>Viljandi maakond</v>
      </c>
      <c r="G153" s="7">
        <f t="shared" si="5"/>
        <v>2014</v>
      </c>
      <c r="H153" s="7">
        <v>47476</v>
      </c>
      <c r="I153" s="7">
        <v>3080.5</v>
      </c>
      <c r="W153" s="26"/>
      <c r="X153" s="27"/>
    </row>
    <row r="154" spans="1:24" x14ac:dyDescent="0.3">
      <c r="A154" s="53"/>
      <c r="B154" s="53"/>
      <c r="C154" s="53" t="s">
        <v>254</v>
      </c>
      <c r="D154" s="54">
        <v>187.11</v>
      </c>
      <c r="E154" s="27"/>
      <c r="F154" s="7" t="str">
        <f t="shared" si="4"/>
        <v>Viljandi maakond</v>
      </c>
      <c r="G154" s="7">
        <f t="shared" si="5"/>
        <v>2014</v>
      </c>
      <c r="H154" s="7">
        <v>47476</v>
      </c>
      <c r="I154" s="7">
        <v>3941.15</v>
      </c>
      <c r="W154" s="26"/>
      <c r="X154" s="27"/>
    </row>
    <row r="155" spans="1:24" x14ac:dyDescent="0.3">
      <c r="A155" s="53"/>
      <c r="B155" s="53" t="s">
        <v>255</v>
      </c>
      <c r="C155" s="53" t="s">
        <v>237</v>
      </c>
      <c r="D155" s="54">
        <v>33.33</v>
      </c>
      <c r="E155" s="27"/>
      <c r="F155" s="7" t="str">
        <f t="shared" si="4"/>
        <v>Võru maakond</v>
      </c>
      <c r="G155" s="7">
        <f t="shared" si="5"/>
        <v>2014</v>
      </c>
      <c r="H155" s="7">
        <v>33426</v>
      </c>
      <c r="I155" s="7">
        <v>997.13</v>
      </c>
      <c r="W155" s="26"/>
      <c r="X155" s="27"/>
    </row>
    <row r="156" spans="1:24" x14ac:dyDescent="0.3">
      <c r="A156" s="53"/>
      <c r="B156" s="53"/>
      <c r="C156" s="53" t="s">
        <v>252</v>
      </c>
      <c r="D156" s="54">
        <v>90.24</v>
      </c>
      <c r="E156" s="27"/>
      <c r="F156" s="7" t="str">
        <f t="shared" si="4"/>
        <v>Võru maakond</v>
      </c>
      <c r="G156" s="7">
        <f t="shared" si="5"/>
        <v>2014</v>
      </c>
      <c r="H156" s="7">
        <v>33426</v>
      </c>
      <c r="I156" s="7">
        <v>2699.69</v>
      </c>
      <c r="W156" s="26"/>
      <c r="X156" s="27"/>
    </row>
    <row r="157" spans="1:24" x14ac:dyDescent="0.3">
      <c r="A157" s="53"/>
      <c r="B157" s="53"/>
      <c r="C157" s="53" t="s">
        <v>254</v>
      </c>
      <c r="D157" s="54">
        <v>107.09</v>
      </c>
      <c r="E157" s="27"/>
      <c r="F157" s="7" t="str">
        <f t="shared" si="4"/>
        <v>Võru maakond</v>
      </c>
      <c r="G157" s="7">
        <f t="shared" si="5"/>
        <v>2014</v>
      </c>
      <c r="H157" s="7">
        <v>33426</v>
      </c>
      <c r="I157" s="7">
        <v>3203.79</v>
      </c>
      <c r="W157" s="26"/>
      <c r="X157" s="27"/>
    </row>
    <row r="158" spans="1:24" x14ac:dyDescent="0.3">
      <c r="A158" s="53" t="s">
        <v>264</v>
      </c>
      <c r="B158" s="53" t="s">
        <v>250</v>
      </c>
      <c r="C158" s="53" t="s">
        <v>237</v>
      </c>
      <c r="D158" s="54">
        <v>55.55</v>
      </c>
      <c r="E158" s="27"/>
      <c r="F158" s="7" t="str">
        <f t="shared" si="4"/>
        <v>Harju maakond</v>
      </c>
      <c r="G158" s="7">
        <f t="shared" si="5"/>
        <v>2015</v>
      </c>
      <c r="H158" s="7">
        <v>575601</v>
      </c>
      <c r="I158" s="7">
        <v>96.51</v>
      </c>
      <c r="W158" s="26"/>
      <c r="X158" s="27"/>
    </row>
    <row r="159" spans="1:24" x14ac:dyDescent="0.3">
      <c r="A159" s="53"/>
      <c r="B159" s="53"/>
      <c r="C159" s="53" t="s">
        <v>252</v>
      </c>
      <c r="D159" s="54">
        <v>2551.3000000000002</v>
      </c>
      <c r="E159" s="27"/>
      <c r="F159" s="7" t="str">
        <f t="shared" si="4"/>
        <v>Harju maakond</v>
      </c>
      <c r="G159" s="7">
        <f t="shared" si="5"/>
        <v>2015</v>
      </c>
      <c r="H159" s="7">
        <v>575601</v>
      </c>
      <c r="I159" s="7">
        <v>4432.41</v>
      </c>
      <c r="W159" s="26"/>
      <c r="X159" s="27"/>
    </row>
    <row r="160" spans="1:24" x14ac:dyDescent="0.3">
      <c r="A160" s="53"/>
      <c r="B160" s="53"/>
      <c r="C160" s="53" t="s">
        <v>254</v>
      </c>
      <c r="D160" s="54">
        <v>9090.7199999999993</v>
      </c>
      <c r="E160" s="27"/>
      <c r="F160" s="7" t="str">
        <f t="shared" si="4"/>
        <v>Harju maakond</v>
      </c>
      <c r="G160" s="7">
        <f t="shared" si="5"/>
        <v>2015</v>
      </c>
      <c r="H160" s="7">
        <v>575601</v>
      </c>
      <c r="I160" s="7">
        <v>15793.44</v>
      </c>
      <c r="W160" s="26"/>
      <c r="X160" s="27"/>
    </row>
    <row r="161" spans="1:24" x14ac:dyDescent="0.3">
      <c r="A161" s="53"/>
      <c r="B161" s="53" t="s">
        <v>239</v>
      </c>
      <c r="C161" s="53" t="s">
        <v>237</v>
      </c>
      <c r="D161" s="54">
        <v>8.7100000000000009</v>
      </c>
      <c r="E161" s="27"/>
      <c r="F161" s="7" t="str">
        <f t="shared" si="4"/>
        <v>Hiiu maakond</v>
      </c>
      <c r="G161" s="7">
        <f t="shared" si="5"/>
        <v>2015</v>
      </c>
      <c r="H161" s="7">
        <v>8582</v>
      </c>
      <c r="I161" s="7">
        <v>1014.91</v>
      </c>
      <c r="W161" s="26"/>
      <c r="X161" s="27"/>
    </row>
    <row r="162" spans="1:24" x14ac:dyDescent="0.3">
      <c r="A162" s="53"/>
      <c r="B162" s="53"/>
      <c r="C162" s="53" t="s">
        <v>252</v>
      </c>
      <c r="D162" s="54">
        <v>24.49</v>
      </c>
      <c r="E162" s="27"/>
      <c r="F162" s="7" t="str">
        <f t="shared" si="4"/>
        <v>Hiiu maakond</v>
      </c>
      <c r="G162" s="7">
        <f t="shared" si="5"/>
        <v>2015</v>
      </c>
      <c r="H162" s="7">
        <v>8582</v>
      </c>
      <c r="I162" s="7">
        <v>2853.65</v>
      </c>
      <c r="W162" s="26"/>
      <c r="X162" s="27"/>
    </row>
    <row r="163" spans="1:24" x14ac:dyDescent="0.3">
      <c r="A163" s="53"/>
      <c r="B163" s="53"/>
      <c r="C163" s="53" t="s">
        <v>254</v>
      </c>
      <c r="D163" s="54">
        <v>29.95</v>
      </c>
      <c r="E163" s="27"/>
      <c r="F163" s="7" t="str">
        <f t="shared" si="4"/>
        <v>Hiiu maakond</v>
      </c>
      <c r="G163" s="7">
        <f t="shared" si="5"/>
        <v>2015</v>
      </c>
      <c r="H163" s="7">
        <v>8582</v>
      </c>
      <c r="I163" s="7">
        <v>3489.86</v>
      </c>
      <c r="W163" s="26"/>
      <c r="X163" s="27"/>
    </row>
    <row r="164" spans="1:24" x14ac:dyDescent="0.3">
      <c r="A164" s="53"/>
      <c r="B164" s="53" t="s">
        <v>257</v>
      </c>
      <c r="C164" s="53" t="s">
        <v>237</v>
      </c>
      <c r="D164" s="54">
        <v>13.76</v>
      </c>
      <c r="E164" s="27"/>
      <c r="F164" s="7" t="str">
        <f t="shared" si="4"/>
        <v>Ida-Viru maakond</v>
      </c>
      <c r="G164" s="7">
        <f t="shared" si="5"/>
        <v>2015</v>
      </c>
      <c r="H164" s="7">
        <v>147597</v>
      </c>
      <c r="I164" s="7">
        <v>93.23</v>
      </c>
      <c r="W164" s="26"/>
      <c r="X164" s="27"/>
    </row>
    <row r="165" spans="1:24" x14ac:dyDescent="0.3">
      <c r="A165" s="53"/>
      <c r="B165" s="53"/>
      <c r="C165" s="53" t="s">
        <v>252</v>
      </c>
      <c r="D165" s="54">
        <v>618.14</v>
      </c>
      <c r="E165" s="27"/>
      <c r="F165" s="7" t="str">
        <f t="shared" si="4"/>
        <v>Ida-Viru maakond</v>
      </c>
      <c r="G165" s="7">
        <f t="shared" si="5"/>
        <v>2015</v>
      </c>
      <c r="H165" s="7">
        <v>147597</v>
      </c>
      <c r="I165" s="7">
        <v>4188.03</v>
      </c>
      <c r="W165" s="26"/>
      <c r="X165" s="27"/>
    </row>
    <row r="166" spans="1:24" x14ac:dyDescent="0.3">
      <c r="A166" s="53"/>
      <c r="B166" s="53"/>
      <c r="C166" s="53" t="s">
        <v>254</v>
      </c>
      <c r="D166" s="54">
        <v>479.65</v>
      </c>
      <c r="E166" s="27"/>
      <c r="F166" s="7" t="str">
        <f t="shared" si="4"/>
        <v>Ida-Viru maakond</v>
      </c>
      <c r="G166" s="7">
        <f t="shared" si="5"/>
        <v>2015</v>
      </c>
      <c r="H166" s="7">
        <v>147597</v>
      </c>
      <c r="I166" s="7">
        <v>3249.73</v>
      </c>
      <c r="W166" s="26"/>
      <c r="X166" s="27"/>
    </row>
    <row r="167" spans="1:24" x14ac:dyDescent="0.3">
      <c r="A167" s="53"/>
      <c r="B167" s="53" t="s">
        <v>240</v>
      </c>
      <c r="C167" s="53" t="s">
        <v>237</v>
      </c>
      <c r="D167" s="54">
        <v>42.96</v>
      </c>
      <c r="E167" s="27"/>
      <c r="F167" s="7" t="str">
        <f t="shared" si="4"/>
        <v>Jõgeva maakond</v>
      </c>
      <c r="G167" s="7">
        <f t="shared" si="5"/>
        <v>2015</v>
      </c>
      <c r="H167" s="7">
        <v>30841</v>
      </c>
      <c r="I167" s="7">
        <v>1392.95</v>
      </c>
      <c r="W167" s="26"/>
      <c r="X167" s="27"/>
    </row>
    <row r="168" spans="1:24" x14ac:dyDescent="0.3">
      <c r="A168" s="53"/>
      <c r="B168" s="53"/>
      <c r="C168" s="53" t="s">
        <v>252</v>
      </c>
      <c r="D168" s="54">
        <v>61.48</v>
      </c>
      <c r="E168" s="27"/>
      <c r="F168" s="7" t="str">
        <f t="shared" si="4"/>
        <v>Jõgeva maakond</v>
      </c>
      <c r="G168" s="7">
        <f t="shared" si="5"/>
        <v>2015</v>
      </c>
      <c r="H168" s="7">
        <v>30841</v>
      </c>
      <c r="I168" s="7">
        <v>1993.45</v>
      </c>
      <c r="W168" s="26"/>
      <c r="X168" s="27"/>
    </row>
    <row r="169" spans="1:24" x14ac:dyDescent="0.3">
      <c r="A169" s="53"/>
      <c r="B169" s="53"/>
      <c r="C169" s="53" t="s">
        <v>254</v>
      </c>
      <c r="D169" s="54">
        <v>80.94</v>
      </c>
      <c r="E169" s="27"/>
      <c r="F169" s="7" t="str">
        <f t="shared" si="4"/>
        <v>Jõgeva maakond</v>
      </c>
      <c r="G169" s="7">
        <f t="shared" si="5"/>
        <v>2015</v>
      </c>
      <c r="H169" s="7">
        <v>30841</v>
      </c>
      <c r="I169" s="7">
        <v>2624.43</v>
      </c>
      <c r="W169" s="26"/>
      <c r="X169" s="27"/>
    </row>
    <row r="170" spans="1:24" x14ac:dyDescent="0.3">
      <c r="A170" s="53"/>
      <c r="B170" s="53" t="s">
        <v>241</v>
      </c>
      <c r="C170" s="53" t="s">
        <v>237</v>
      </c>
      <c r="D170" s="54">
        <v>33.44</v>
      </c>
      <c r="E170" s="27"/>
      <c r="F170" s="7" t="str">
        <f t="shared" si="4"/>
        <v>Järva maakond</v>
      </c>
      <c r="G170" s="7">
        <f t="shared" si="5"/>
        <v>2015</v>
      </c>
      <c r="H170" s="7">
        <v>30109</v>
      </c>
      <c r="I170" s="7">
        <v>1110.6300000000001</v>
      </c>
      <c r="W170" s="26"/>
      <c r="X170" s="27"/>
    </row>
    <row r="171" spans="1:24" x14ac:dyDescent="0.3">
      <c r="A171" s="53"/>
      <c r="B171" s="53"/>
      <c r="C171" s="53" t="s">
        <v>252</v>
      </c>
      <c r="D171" s="54">
        <v>89.65</v>
      </c>
      <c r="E171" s="27"/>
      <c r="F171" s="7" t="str">
        <f t="shared" si="4"/>
        <v>Järva maakond</v>
      </c>
      <c r="G171" s="7">
        <f t="shared" si="5"/>
        <v>2015</v>
      </c>
      <c r="H171" s="7">
        <v>30109</v>
      </c>
      <c r="I171" s="7">
        <v>2977.52</v>
      </c>
      <c r="W171" s="26"/>
      <c r="X171" s="27"/>
    </row>
    <row r="172" spans="1:24" x14ac:dyDescent="0.3">
      <c r="A172" s="53"/>
      <c r="B172" s="53"/>
      <c r="C172" s="53" t="s">
        <v>254</v>
      </c>
      <c r="D172" s="54">
        <v>104.4</v>
      </c>
      <c r="E172" s="27"/>
      <c r="F172" s="7" t="str">
        <f t="shared" si="4"/>
        <v>Järva maakond</v>
      </c>
      <c r="G172" s="7">
        <f t="shared" si="5"/>
        <v>2015</v>
      </c>
      <c r="H172" s="7">
        <v>30109</v>
      </c>
      <c r="I172" s="7">
        <v>3467.4</v>
      </c>
      <c r="W172" s="26"/>
      <c r="X172" s="27"/>
    </row>
    <row r="173" spans="1:24" x14ac:dyDescent="0.3">
      <c r="A173" s="53"/>
      <c r="B173" s="53" t="s">
        <v>258</v>
      </c>
      <c r="C173" s="53" t="s">
        <v>237</v>
      </c>
      <c r="D173" s="54">
        <v>15.58</v>
      </c>
      <c r="E173" s="27"/>
      <c r="F173" s="7" t="str">
        <f t="shared" si="4"/>
        <v>Lääne maakond</v>
      </c>
      <c r="G173" s="7">
        <f t="shared" si="5"/>
        <v>2015</v>
      </c>
      <c r="H173" s="7">
        <v>24070</v>
      </c>
      <c r="I173" s="7">
        <v>647.28</v>
      </c>
      <c r="W173" s="26"/>
      <c r="X173" s="27"/>
    </row>
    <row r="174" spans="1:24" x14ac:dyDescent="0.3">
      <c r="A174" s="53"/>
      <c r="B174" s="53"/>
      <c r="C174" s="53" t="s">
        <v>252</v>
      </c>
      <c r="D174" s="54">
        <v>50.1</v>
      </c>
      <c r="E174" s="27"/>
      <c r="F174" s="7" t="str">
        <f t="shared" si="4"/>
        <v>Lääne maakond</v>
      </c>
      <c r="G174" s="7">
        <f t="shared" si="5"/>
        <v>2015</v>
      </c>
      <c r="H174" s="7">
        <v>24070</v>
      </c>
      <c r="I174" s="7">
        <v>2081.4299999999998</v>
      </c>
      <c r="W174" s="26"/>
      <c r="X174" s="27"/>
    </row>
    <row r="175" spans="1:24" x14ac:dyDescent="0.3">
      <c r="A175" s="53"/>
      <c r="B175" s="53"/>
      <c r="C175" s="53" t="s">
        <v>254</v>
      </c>
      <c r="D175" s="54">
        <v>92.72</v>
      </c>
      <c r="E175" s="27"/>
      <c r="F175" s="7" t="str">
        <f t="shared" si="4"/>
        <v>Lääne maakond</v>
      </c>
      <c r="G175" s="7">
        <f t="shared" si="5"/>
        <v>2015</v>
      </c>
      <c r="H175" s="7">
        <v>24070</v>
      </c>
      <c r="I175" s="7">
        <v>3852.1</v>
      </c>
      <c r="W175" s="26"/>
      <c r="X175" s="27"/>
    </row>
    <row r="176" spans="1:24" x14ac:dyDescent="0.3">
      <c r="A176" s="53"/>
      <c r="B176" s="53" t="s">
        <v>242</v>
      </c>
      <c r="C176" s="53" t="s">
        <v>237</v>
      </c>
      <c r="D176" s="54">
        <v>57.32</v>
      </c>
      <c r="E176" s="27"/>
      <c r="F176" s="7" t="str">
        <f t="shared" si="4"/>
        <v>Lääne-Viru maakond</v>
      </c>
      <c r="G176" s="7">
        <f t="shared" si="5"/>
        <v>2015</v>
      </c>
      <c r="H176" s="7">
        <v>59039</v>
      </c>
      <c r="I176" s="7">
        <v>970.88</v>
      </c>
      <c r="W176" s="26"/>
      <c r="X176" s="27"/>
    </row>
    <row r="177" spans="1:24" x14ac:dyDescent="0.3">
      <c r="A177" s="53"/>
      <c r="B177" s="53"/>
      <c r="C177" s="53" t="s">
        <v>252</v>
      </c>
      <c r="D177" s="54">
        <v>217.5</v>
      </c>
      <c r="E177" s="27"/>
      <c r="F177" s="7" t="str">
        <f t="shared" si="4"/>
        <v>Lääne-Viru maakond</v>
      </c>
      <c r="G177" s="7">
        <f t="shared" si="5"/>
        <v>2015</v>
      </c>
      <c r="H177" s="7">
        <v>59039</v>
      </c>
      <c r="I177" s="7">
        <v>3684.01</v>
      </c>
      <c r="W177" s="26"/>
      <c r="X177" s="27"/>
    </row>
    <row r="178" spans="1:24" x14ac:dyDescent="0.3">
      <c r="A178" s="53"/>
      <c r="B178" s="53"/>
      <c r="C178" s="53" t="s">
        <v>254</v>
      </c>
      <c r="D178" s="54">
        <v>202.9</v>
      </c>
      <c r="E178" s="27"/>
      <c r="F178" s="7" t="str">
        <f t="shared" si="4"/>
        <v>Lääne-Viru maakond</v>
      </c>
      <c r="G178" s="7">
        <f t="shared" si="5"/>
        <v>2015</v>
      </c>
      <c r="H178" s="7">
        <v>59039</v>
      </c>
      <c r="I178" s="7">
        <v>3436.71</v>
      </c>
      <c r="W178" s="26"/>
      <c r="X178" s="27"/>
    </row>
    <row r="179" spans="1:24" x14ac:dyDescent="0.3">
      <c r="A179" s="53"/>
      <c r="B179" s="53" t="s">
        <v>248</v>
      </c>
      <c r="C179" s="53" t="s">
        <v>237</v>
      </c>
      <c r="D179" s="54">
        <v>24.11</v>
      </c>
      <c r="E179" s="27"/>
      <c r="F179" s="7" t="str">
        <f t="shared" si="4"/>
        <v>Põlva maakond</v>
      </c>
      <c r="G179" s="7">
        <f t="shared" si="5"/>
        <v>2015</v>
      </c>
      <c r="H179" s="7">
        <v>27438</v>
      </c>
      <c r="I179" s="7">
        <v>878.71</v>
      </c>
      <c r="W179" s="26"/>
      <c r="X179" s="27"/>
    </row>
    <row r="180" spans="1:24" x14ac:dyDescent="0.3">
      <c r="A180" s="53"/>
      <c r="B180" s="53"/>
      <c r="C180" s="53" t="s">
        <v>252</v>
      </c>
      <c r="D180" s="54">
        <v>44.05</v>
      </c>
      <c r="E180" s="27"/>
      <c r="F180" s="7" t="str">
        <f t="shared" si="4"/>
        <v>Põlva maakond</v>
      </c>
      <c r="G180" s="7">
        <f t="shared" si="5"/>
        <v>2015</v>
      </c>
      <c r="H180" s="7">
        <v>27438</v>
      </c>
      <c r="I180" s="7">
        <v>1605.44</v>
      </c>
      <c r="W180" s="26"/>
      <c r="X180" s="27"/>
    </row>
    <row r="181" spans="1:24" x14ac:dyDescent="0.3">
      <c r="A181" s="53"/>
      <c r="B181" s="53"/>
      <c r="C181" s="53" t="s">
        <v>254</v>
      </c>
      <c r="D181" s="54">
        <v>90.37</v>
      </c>
      <c r="E181" s="27"/>
      <c r="F181" s="7" t="str">
        <f t="shared" si="4"/>
        <v>Põlva maakond</v>
      </c>
      <c r="G181" s="7">
        <f t="shared" si="5"/>
        <v>2015</v>
      </c>
      <c r="H181" s="7">
        <v>27438</v>
      </c>
      <c r="I181" s="7">
        <v>3293.61</v>
      </c>
      <c r="W181" s="26"/>
      <c r="X181" s="27"/>
    </row>
    <row r="182" spans="1:24" x14ac:dyDescent="0.3">
      <c r="A182" s="53"/>
      <c r="B182" s="53" t="s">
        <v>259</v>
      </c>
      <c r="C182" s="53" t="s">
        <v>237</v>
      </c>
      <c r="D182" s="54">
        <v>64.97</v>
      </c>
      <c r="E182" s="27"/>
      <c r="F182" s="7" t="str">
        <f t="shared" si="4"/>
        <v>Pärnu maakond</v>
      </c>
      <c r="G182" s="7">
        <f t="shared" si="5"/>
        <v>2015</v>
      </c>
      <c r="H182" s="7">
        <v>82349</v>
      </c>
      <c r="I182" s="7">
        <v>788.96</v>
      </c>
      <c r="W182" s="26"/>
      <c r="X182" s="27"/>
    </row>
    <row r="183" spans="1:24" x14ac:dyDescent="0.3">
      <c r="A183" s="53"/>
      <c r="B183" s="53"/>
      <c r="C183" s="53" t="s">
        <v>252</v>
      </c>
      <c r="D183" s="54">
        <v>267.92</v>
      </c>
      <c r="E183" s="27"/>
      <c r="F183" s="7" t="str">
        <f t="shared" si="4"/>
        <v>Pärnu maakond</v>
      </c>
      <c r="G183" s="7">
        <f t="shared" si="5"/>
        <v>2015</v>
      </c>
      <c r="H183" s="7">
        <v>82349</v>
      </c>
      <c r="I183" s="7">
        <v>3253.47</v>
      </c>
      <c r="W183" s="26"/>
      <c r="X183" s="27"/>
    </row>
    <row r="184" spans="1:24" x14ac:dyDescent="0.3">
      <c r="A184" s="53"/>
      <c r="B184" s="53"/>
      <c r="C184" s="53" t="s">
        <v>254</v>
      </c>
      <c r="D184" s="54">
        <v>429.69</v>
      </c>
      <c r="E184" s="27"/>
      <c r="F184" s="7" t="str">
        <f t="shared" si="4"/>
        <v>Pärnu maakond</v>
      </c>
      <c r="G184" s="7">
        <f t="shared" si="5"/>
        <v>2015</v>
      </c>
      <c r="H184" s="7">
        <v>82349</v>
      </c>
      <c r="I184" s="7">
        <v>5217.91</v>
      </c>
      <c r="W184" s="26"/>
      <c r="X184" s="27"/>
    </row>
    <row r="185" spans="1:24" x14ac:dyDescent="0.3">
      <c r="A185" s="53"/>
      <c r="B185" s="53" t="s">
        <v>256</v>
      </c>
      <c r="C185" s="53" t="s">
        <v>237</v>
      </c>
      <c r="D185" s="54">
        <v>35.08</v>
      </c>
      <c r="E185" s="27"/>
      <c r="F185" s="7" t="str">
        <f t="shared" si="4"/>
        <v>Rapla maakond</v>
      </c>
      <c r="G185" s="7">
        <f t="shared" si="5"/>
        <v>2015</v>
      </c>
      <c r="H185" s="7">
        <v>34436</v>
      </c>
      <c r="I185" s="7">
        <v>1018.7</v>
      </c>
      <c r="W185" s="26"/>
      <c r="X185" s="27"/>
    </row>
    <row r="186" spans="1:24" x14ac:dyDescent="0.3">
      <c r="A186" s="53"/>
      <c r="B186" s="53"/>
      <c r="C186" s="53" t="s">
        <v>252</v>
      </c>
      <c r="D186" s="54">
        <v>79.81</v>
      </c>
      <c r="E186" s="27"/>
      <c r="F186" s="7" t="str">
        <f t="shared" si="4"/>
        <v>Rapla maakond</v>
      </c>
      <c r="G186" s="7">
        <f t="shared" si="5"/>
        <v>2015</v>
      </c>
      <c r="H186" s="7">
        <v>34436</v>
      </c>
      <c r="I186" s="7">
        <v>2317.63</v>
      </c>
      <c r="W186" s="26"/>
      <c r="X186" s="27"/>
    </row>
    <row r="187" spans="1:24" x14ac:dyDescent="0.3">
      <c r="A187" s="53"/>
      <c r="B187" s="53"/>
      <c r="C187" s="53" t="s">
        <v>254</v>
      </c>
      <c r="D187" s="54">
        <v>132.55000000000001</v>
      </c>
      <c r="E187" s="27"/>
      <c r="F187" s="7" t="str">
        <f t="shared" si="4"/>
        <v>Rapla maakond</v>
      </c>
      <c r="G187" s="7">
        <f t="shared" si="5"/>
        <v>2015</v>
      </c>
      <c r="H187" s="7">
        <v>34436</v>
      </c>
      <c r="I187" s="7">
        <v>3849.17</v>
      </c>
      <c r="W187" s="26"/>
      <c r="X187" s="27"/>
    </row>
    <row r="188" spans="1:24" x14ac:dyDescent="0.3">
      <c r="A188" s="53"/>
      <c r="B188" s="53" t="s">
        <v>260</v>
      </c>
      <c r="C188" s="53" t="s">
        <v>237</v>
      </c>
      <c r="D188" s="54">
        <v>16.03</v>
      </c>
      <c r="E188" s="27"/>
      <c r="F188" s="7" t="str">
        <f t="shared" si="4"/>
        <v>Saare maakond</v>
      </c>
      <c r="G188" s="7">
        <f t="shared" si="5"/>
        <v>2015</v>
      </c>
      <c r="H188" s="7">
        <v>31706</v>
      </c>
      <c r="I188" s="7">
        <v>505.58</v>
      </c>
      <c r="W188" s="26"/>
      <c r="X188" s="27"/>
    </row>
    <row r="189" spans="1:24" x14ac:dyDescent="0.3">
      <c r="A189" s="53"/>
      <c r="B189" s="53"/>
      <c r="C189" s="53" t="s">
        <v>252</v>
      </c>
      <c r="D189" s="54">
        <v>102.73</v>
      </c>
      <c r="E189" s="27"/>
      <c r="F189" s="7" t="str">
        <f t="shared" si="4"/>
        <v>Saare maakond</v>
      </c>
      <c r="G189" s="7">
        <f t="shared" si="5"/>
        <v>2015</v>
      </c>
      <c r="H189" s="7">
        <v>31706</v>
      </c>
      <c r="I189" s="7">
        <v>3240.08</v>
      </c>
      <c r="W189" s="26"/>
      <c r="X189" s="27"/>
    </row>
    <row r="190" spans="1:24" x14ac:dyDescent="0.3">
      <c r="A190" s="53"/>
      <c r="B190" s="53"/>
      <c r="C190" s="53" t="s">
        <v>254</v>
      </c>
      <c r="D190" s="54">
        <v>179.31</v>
      </c>
      <c r="E190" s="27"/>
      <c r="F190" s="7" t="str">
        <f t="shared" si="4"/>
        <v>Saare maakond</v>
      </c>
      <c r="G190" s="7">
        <f t="shared" si="5"/>
        <v>2015</v>
      </c>
      <c r="H190" s="7">
        <v>31706</v>
      </c>
      <c r="I190" s="7">
        <v>5655.4</v>
      </c>
      <c r="W190" s="26"/>
      <c r="X190" s="27"/>
    </row>
    <row r="191" spans="1:24" x14ac:dyDescent="0.3">
      <c r="A191" s="53"/>
      <c r="B191" s="53" t="s">
        <v>261</v>
      </c>
      <c r="C191" s="53" t="s">
        <v>237</v>
      </c>
      <c r="D191" s="54">
        <v>74.8</v>
      </c>
      <c r="E191" s="27"/>
      <c r="F191" s="7" t="str">
        <f t="shared" si="4"/>
        <v>Tartu maakond</v>
      </c>
      <c r="G191" s="7">
        <f t="shared" si="5"/>
        <v>2015</v>
      </c>
      <c r="H191" s="7">
        <v>151377</v>
      </c>
      <c r="I191" s="7">
        <v>494.13</v>
      </c>
      <c r="W191" s="26"/>
      <c r="X191" s="27"/>
    </row>
    <row r="192" spans="1:24" x14ac:dyDescent="0.3">
      <c r="A192" s="53"/>
      <c r="B192" s="53"/>
      <c r="C192" s="53" t="s">
        <v>252</v>
      </c>
      <c r="D192" s="54">
        <v>492.79</v>
      </c>
      <c r="E192" s="27"/>
      <c r="F192" s="7" t="str">
        <f t="shared" si="4"/>
        <v>Tartu maakond</v>
      </c>
      <c r="G192" s="7">
        <f t="shared" si="5"/>
        <v>2015</v>
      </c>
      <c r="H192" s="7">
        <v>151377</v>
      </c>
      <c r="I192" s="7">
        <v>3255.38</v>
      </c>
      <c r="W192" s="26"/>
      <c r="X192" s="27"/>
    </row>
    <row r="193" spans="1:24" x14ac:dyDescent="0.3">
      <c r="A193" s="53"/>
      <c r="B193" s="53"/>
      <c r="C193" s="53" t="s">
        <v>254</v>
      </c>
      <c r="D193" s="54">
        <v>1230.48</v>
      </c>
      <c r="E193" s="27"/>
      <c r="F193" s="7" t="str">
        <f t="shared" si="4"/>
        <v>Tartu maakond</v>
      </c>
      <c r="G193" s="7">
        <f t="shared" si="5"/>
        <v>2015</v>
      </c>
      <c r="H193" s="7">
        <v>151377</v>
      </c>
      <c r="I193" s="7">
        <v>8128.58</v>
      </c>
      <c r="W193" s="26"/>
      <c r="X193" s="27"/>
    </row>
    <row r="194" spans="1:24" x14ac:dyDescent="0.3">
      <c r="A194" s="53"/>
      <c r="B194" s="53" t="s">
        <v>253</v>
      </c>
      <c r="C194" s="53" t="s">
        <v>237</v>
      </c>
      <c r="D194" s="54">
        <v>32.46</v>
      </c>
      <c r="E194" s="27"/>
      <c r="F194" s="7" t="str">
        <f t="shared" si="4"/>
        <v>Valga maakond</v>
      </c>
      <c r="G194" s="7">
        <f t="shared" si="5"/>
        <v>2015</v>
      </c>
      <c r="H194" s="7">
        <v>29944</v>
      </c>
      <c r="I194" s="7">
        <v>1084.02</v>
      </c>
      <c r="W194" s="26"/>
      <c r="X194" s="27"/>
    </row>
    <row r="195" spans="1:24" x14ac:dyDescent="0.3">
      <c r="A195" s="53"/>
      <c r="B195" s="53"/>
      <c r="C195" s="53" t="s">
        <v>252</v>
      </c>
      <c r="D195" s="54">
        <v>72.650000000000006</v>
      </c>
      <c r="E195" s="27"/>
      <c r="F195" s="7" t="str">
        <f t="shared" si="4"/>
        <v>Valga maakond</v>
      </c>
      <c r="G195" s="7">
        <f t="shared" si="5"/>
        <v>2015</v>
      </c>
      <c r="H195" s="7">
        <v>29944</v>
      </c>
      <c r="I195" s="7">
        <v>2426.1999999999998</v>
      </c>
      <c r="W195" s="26"/>
      <c r="X195" s="27"/>
    </row>
    <row r="196" spans="1:24" x14ac:dyDescent="0.3">
      <c r="A196" s="53"/>
      <c r="B196" s="53"/>
      <c r="C196" s="53" t="s">
        <v>254</v>
      </c>
      <c r="D196" s="54">
        <v>93.12</v>
      </c>
      <c r="E196" s="27"/>
      <c r="F196" s="7" t="str">
        <f t="shared" si="4"/>
        <v>Valga maakond</v>
      </c>
      <c r="G196" s="7">
        <f t="shared" si="5"/>
        <v>2015</v>
      </c>
      <c r="H196" s="7">
        <v>29944</v>
      </c>
      <c r="I196" s="7">
        <v>3109.8</v>
      </c>
      <c r="W196" s="26"/>
      <c r="X196" s="27"/>
    </row>
    <row r="197" spans="1:24" x14ac:dyDescent="0.3">
      <c r="A197" s="53"/>
      <c r="B197" s="53" t="s">
        <v>251</v>
      </c>
      <c r="C197" s="53" t="s">
        <v>237</v>
      </c>
      <c r="D197" s="54">
        <v>74.92</v>
      </c>
      <c r="E197" s="27"/>
      <c r="F197" s="7" t="str">
        <f t="shared" si="4"/>
        <v>Viljandi maakond</v>
      </c>
      <c r="G197" s="7">
        <f t="shared" si="5"/>
        <v>2015</v>
      </c>
      <c r="H197" s="7">
        <v>47010</v>
      </c>
      <c r="I197" s="7">
        <v>1593.7</v>
      </c>
      <c r="W197" s="26"/>
      <c r="X197" s="27"/>
    </row>
    <row r="198" spans="1:24" x14ac:dyDescent="0.3">
      <c r="A198" s="53"/>
      <c r="B198" s="53"/>
      <c r="C198" s="53" t="s">
        <v>252</v>
      </c>
      <c r="D198" s="54">
        <v>153.88</v>
      </c>
      <c r="E198" s="27"/>
      <c r="F198" s="7" t="str">
        <f t="shared" si="4"/>
        <v>Viljandi maakond</v>
      </c>
      <c r="G198" s="7">
        <f t="shared" si="5"/>
        <v>2015</v>
      </c>
      <c r="H198" s="7">
        <v>47010</v>
      </c>
      <c r="I198" s="7">
        <v>3273.35</v>
      </c>
      <c r="W198" s="26"/>
      <c r="X198" s="27"/>
    </row>
    <row r="199" spans="1:24" x14ac:dyDescent="0.3">
      <c r="A199" s="53"/>
      <c r="B199" s="53"/>
      <c r="C199" s="53" t="s">
        <v>254</v>
      </c>
      <c r="D199" s="54">
        <v>187.32</v>
      </c>
      <c r="E199" s="27"/>
      <c r="F199" s="7" t="str">
        <f t="shared" si="4"/>
        <v>Viljandi maakond</v>
      </c>
      <c r="G199" s="7">
        <f t="shared" si="5"/>
        <v>2015</v>
      </c>
      <c r="H199" s="7">
        <v>47010</v>
      </c>
      <c r="I199" s="7">
        <v>3984.68</v>
      </c>
      <c r="W199" s="26"/>
      <c r="X199" s="27"/>
    </row>
    <row r="200" spans="1:24" x14ac:dyDescent="0.3">
      <c r="A200" s="53"/>
      <c r="B200" s="53" t="s">
        <v>255</v>
      </c>
      <c r="C200" s="53" t="s">
        <v>237</v>
      </c>
      <c r="D200" s="54">
        <v>39.979999999999997</v>
      </c>
      <c r="E200" s="27"/>
      <c r="F200" s="7" t="str">
        <f t="shared" si="4"/>
        <v>Võru maakond</v>
      </c>
      <c r="G200" s="7">
        <f t="shared" si="5"/>
        <v>2015</v>
      </c>
      <c r="H200" s="7">
        <v>33172</v>
      </c>
      <c r="I200" s="7">
        <v>1205.23</v>
      </c>
      <c r="W200" s="26"/>
      <c r="X200" s="27"/>
    </row>
    <row r="201" spans="1:24" x14ac:dyDescent="0.3">
      <c r="A201" s="53"/>
      <c r="B201" s="53"/>
      <c r="C201" s="53" t="s">
        <v>252</v>
      </c>
      <c r="D201" s="54">
        <v>96.83</v>
      </c>
      <c r="E201" s="27"/>
      <c r="F201" s="7" t="str">
        <f t="shared" si="4"/>
        <v>Võru maakond</v>
      </c>
      <c r="G201" s="7">
        <f t="shared" si="5"/>
        <v>2015</v>
      </c>
      <c r="H201" s="7">
        <v>33172</v>
      </c>
      <c r="I201" s="7">
        <v>2919.03</v>
      </c>
      <c r="W201" s="26"/>
      <c r="X201" s="27"/>
    </row>
    <row r="202" spans="1:24" x14ac:dyDescent="0.3">
      <c r="A202" s="53"/>
      <c r="B202" s="53"/>
      <c r="C202" s="53" t="s">
        <v>254</v>
      </c>
      <c r="D202" s="54">
        <v>104.46</v>
      </c>
      <c r="E202" s="27"/>
      <c r="F202" s="7" t="str">
        <f t="shared" si="4"/>
        <v>Võru maakond</v>
      </c>
      <c r="G202" s="7">
        <f t="shared" si="5"/>
        <v>2015</v>
      </c>
      <c r="H202" s="7">
        <v>33172</v>
      </c>
      <c r="I202" s="7">
        <v>3149.04</v>
      </c>
      <c r="W202" s="26"/>
      <c r="X202" s="27"/>
    </row>
    <row r="203" spans="1:24" x14ac:dyDescent="0.3">
      <c r="A203" s="53" t="s">
        <v>265</v>
      </c>
      <c r="B203" s="53" t="s">
        <v>250</v>
      </c>
      <c r="C203" s="53" t="s">
        <v>237</v>
      </c>
      <c r="D203" s="54">
        <v>52.72</v>
      </c>
      <c r="E203" s="27"/>
      <c r="F203" s="7" t="str">
        <f t="shared" si="4"/>
        <v>Harju maakond</v>
      </c>
      <c r="G203" s="7">
        <f t="shared" si="5"/>
        <v>2016</v>
      </c>
      <c r="H203" s="7">
        <v>576265</v>
      </c>
      <c r="I203" s="7">
        <v>91.49</v>
      </c>
      <c r="W203" s="26"/>
      <c r="X203" s="27"/>
    </row>
    <row r="204" spans="1:24" x14ac:dyDescent="0.3">
      <c r="A204" s="53"/>
      <c r="B204" s="53"/>
      <c r="C204" s="53" t="s">
        <v>252</v>
      </c>
      <c r="D204" s="54">
        <v>2766.84</v>
      </c>
      <c r="E204" s="27"/>
      <c r="F204" s="7" t="str">
        <f t="shared" si="4"/>
        <v>Harju maakond</v>
      </c>
      <c r="G204" s="7">
        <f t="shared" si="5"/>
        <v>2016</v>
      </c>
      <c r="H204" s="7">
        <v>576265</v>
      </c>
      <c r="I204" s="7">
        <v>4801.33</v>
      </c>
      <c r="W204" s="26"/>
      <c r="X204" s="27"/>
    </row>
    <row r="205" spans="1:24" x14ac:dyDescent="0.3">
      <c r="A205" s="53"/>
      <c r="B205" s="53"/>
      <c r="C205" s="53" t="s">
        <v>254</v>
      </c>
      <c r="D205" s="54">
        <v>9498.34</v>
      </c>
      <c r="E205" s="27"/>
      <c r="F205" s="7" t="str">
        <f t="shared" si="4"/>
        <v>Harju maakond</v>
      </c>
      <c r="G205" s="7">
        <f t="shared" si="5"/>
        <v>2016</v>
      </c>
      <c r="H205" s="7">
        <v>576265</v>
      </c>
      <c r="I205" s="7">
        <v>16482.59</v>
      </c>
      <c r="W205" s="26"/>
      <c r="X205" s="27"/>
    </row>
    <row r="206" spans="1:24" x14ac:dyDescent="0.3">
      <c r="A206" s="53"/>
      <c r="B206" s="53" t="s">
        <v>239</v>
      </c>
      <c r="C206" s="53" t="s">
        <v>237</v>
      </c>
      <c r="D206" s="54">
        <v>8.25</v>
      </c>
      <c r="E206" s="27"/>
      <c r="F206" s="7" t="str">
        <f t="shared" si="4"/>
        <v>Hiiu maakond</v>
      </c>
      <c r="G206" s="7">
        <f t="shared" si="5"/>
        <v>2016</v>
      </c>
      <c r="H206" s="7">
        <v>9348</v>
      </c>
      <c r="I206" s="7">
        <v>882.54</v>
      </c>
      <c r="W206" s="26"/>
      <c r="X206" s="27"/>
    </row>
    <row r="207" spans="1:24" x14ac:dyDescent="0.3">
      <c r="A207" s="53"/>
      <c r="B207" s="53"/>
      <c r="C207" s="53" t="s">
        <v>252</v>
      </c>
      <c r="D207" s="54">
        <v>29.99</v>
      </c>
      <c r="E207" s="27"/>
      <c r="F207" s="7" t="str">
        <f t="shared" si="4"/>
        <v>Hiiu maakond</v>
      </c>
      <c r="G207" s="7">
        <f t="shared" si="5"/>
        <v>2016</v>
      </c>
      <c r="H207" s="7">
        <v>9348</v>
      </c>
      <c r="I207" s="7">
        <v>3208.17</v>
      </c>
      <c r="W207" s="26"/>
      <c r="X207" s="27"/>
    </row>
    <row r="208" spans="1:24" x14ac:dyDescent="0.3">
      <c r="A208" s="53"/>
      <c r="B208" s="53"/>
      <c r="C208" s="53" t="s">
        <v>254</v>
      </c>
      <c r="D208" s="54">
        <v>32.78</v>
      </c>
      <c r="E208" s="27"/>
      <c r="F208" s="7" t="str">
        <f t="shared" si="4"/>
        <v>Hiiu maakond</v>
      </c>
      <c r="G208" s="7">
        <f t="shared" si="5"/>
        <v>2016</v>
      </c>
      <c r="H208" s="7">
        <v>9348</v>
      </c>
      <c r="I208" s="7">
        <v>3506.63</v>
      </c>
      <c r="W208" s="26"/>
      <c r="X208" s="27"/>
    </row>
    <row r="209" spans="1:24" x14ac:dyDescent="0.3">
      <c r="A209" s="53"/>
      <c r="B209" s="53" t="s">
        <v>257</v>
      </c>
      <c r="C209" s="53" t="s">
        <v>237</v>
      </c>
      <c r="D209" s="54">
        <v>10.55</v>
      </c>
      <c r="E209" s="27"/>
      <c r="F209" s="7" t="str">
        <f t="shared" si="4"/>
        <v>Ida-Viru maakond</v>
      </c>
      <c r="G209" s="7">
        <f t="shared" si="5"/>
        <v>2016</v>
      </c>
      <c r="H209" s="7">
        <v>146506</v>
      </c>
      <c r="I209" s="7">
        <v>72.010000000000005</v>
      </c>
      <c r="W209" s="26"/>
      <c r="X209" s="27"/>
    </row>
    <row r="210" spans="1:24" x14ac:dyDescent="0.3">
      <c r="A210" s="53"/>
      <c r="B210" s="53"/>
      <c r="C210" s="53" t="s">
        <v>252</v>
      </c>
      <c r="D210" s="54">
        <v>576.74</v>
      </c>
      <c r="E210" s="27"/>
      <c r="F210" s="7" t="str">
        <f t="shared" si="4"/>
        <v>Ida-Viru maakond</v>
      </c>
      <c r="G210" s="7">
        <f t="shared" si="5"/>
        <v>2016</v>
      </c>
      <c r="H210" s="7">
        <v>146506</v>
      </c>
      <c r="I210" s="7">
        <v>3936.63</v>
      </c>
      <c r="W210" s="26"/>
      <c r="X210" s="27"/>
    </row>
    <row r="211" spans="1:24" x14ac:dyDescent="0.3">
      <c r="A211" s="53"/>
      <c r="B211" s="53"/>
      <c r="C211" s="53" t="s">
        <v>254</v>
      </c>
      <c r="D211" s="54">
        <v>480.48</v>
      </c>
      <c r="E211" s="27"/>
      <c r="F211" s="7" t="str">
        <f t="shared" si="4"/>
        <v>Ida-Viru maakond</v>
      </c>
      <c r="G211" s="7">
        <f t="shared" si="5"/>
        <v>2016</v>
      </c>
      <c r="H211" s="7">
        <v>146506</v>
      </c>
      <c r="I211" s="7">
        <v>3279.59</v>
      </c>
      <c r="W211" s="26"/>
      <c r="X211" s="27"/>
    </row>
    <row r="212" spans="1:24" x14ac:dyDescent="0.3">
      <c r="A212" s="53"/>
      <c r="B212" s="53" t="s">
        <v>240</v>
      </c>
      <c r="C212" s="53" t="s">
        <v>237</v>
      </c>
      <c r="D212" s="54">
        <v>29.54</v>
      </c>
      <c r="E212" s="27"/>
      <c r="F212" s="7" t="str">
        <f t="shared" si="4"/>
        <v>Jõgeva maakond</v>
      </c>
      <c r="G212" s="7">
        <f t="shared" si="5"/>
        <v>2016</v>
      </c>
      <c r="H212" s="7">
        <v>31298</v>
      </c>
      <c r="I212" s="7">
        <v>943.83</v>
      </c>
      <c r="W212" s="26"/>
      <c r="X212" s="27"/>
    </row>
    <row r="213" spans="1:24" x14ac:dyDescent="0.3">
      <c r="A213" s="53"/>
      <c r="B213" s="53"/>
      <c r="C213" s="53" t="s">
        <v>252</v>
      </c>
      <c r="D213" s="54">
        <v>69.599999999999994</v>
      </c>
      <c r="E213" s="27"/>
      <c r="F213" s="7" t="str">
        <f t="shared" si="4"/>
        <v>Jõgeva maakond</v>
      </c>
      <c r="G213" s="7">
        <f t="shared" si="5"/>
        <v>2016</v>
      </c>
      <c r="H213" s="7">
        <v>31298</v>
      </c>
      <c r="I213" s="7">
        <v>2223.7800000000002</v>
      </c>
      <c r="W213" s="26"/>
      <c r="X213" s="27"/>
    </row>
    <row r="214" spans="1:24" x14ac:dyDescent="0.3">
      <c r="A214" s="53"/>
      <c r="B214" s="53"/>
      <c r="C214" s="53" t="s">
        <v>254</v>
      </c>
      <c r="D214" s="54">
        <v>78.349999999999994</v>
      </c>
      <c r="E214" s="27"/>
      <c r="F214" s="7" t="str">
        <f t="shared" si="4"/>
        <v>Jõgeva maakond</v>
      </c>
      <c r="G214" s="7">
        <f t="shared" si="5"/>
        <v>2016</v>
      </c>
      <c r="H214" s="7">
        <v>31298</v>
      </c>
      <c r="I214" s="7">
        <v>2503.35</v>
      </c>
      <c r="W214" s="26"/>
      <c r="X214" s="27"/>
    </row>
    <row r="215" spans="1:24" x14ac:dyDescent="0.3">
      <c r="A215" s="53"/>
      <c r="B215" s="53" t="s">
        <v>241</v>
      </c>
      <c r="C215" s="53" t="s">
        <v>237</v>
      </c>
      <c r="D215" s="54">
        <v>20.92</v>
      </c>
      <c r="E215" s="27"/>
      <c r="F215" s="7" t="str">
        <f t="shared" si="4"/>
        <v>Järva maakond</v>
      </c>
      <c r="G215" s="7">
        <f t="shared" si="5"/>
        <v>2016</v>
      </c>
      <c r="H215" s="7">
        <v>30709</v>
      </c>
      <c r="I215" s="7">
        <v>681.23</v>
      </c>
      <c r="W215" s="26"/>
      <c r="X215" s="27"/>
    </row>
    <row r="216" spans="1:24" x14ac:dyDescent="0.3">
      <c r="A216" s="53"/>
      <c r="B216" s="53"/>
      <c r="C216" s="53" t="s">
        <v>252</v>
      </c>
      <c r="D216" s="54">
        <v>107.51</v>
      </c>
      <c r="E216" s="27"/>
      <c r="F216" s="7" t="str">
        <f t="shared" ref="F216:F279" si="6">IF(NOT(ISBLANK(B216)),B216,F215)</f>
        <v>Järva maakond</v>
      </c>
      <c r="G216" s="7">
        <f t="shared" ref="G216:G279" si="7">_xlfn.NUMBERVALUE(IF(NOT(ISBLANK(A216)),A216,G215))</f>
        <v>2016</v>
      </c>
      <c r="H216" s="7">
        <v>30709</v>
      </c>
      <c r="I216" s="7">
        <v>3500.93</v>
      </c>
      <c r="W216" s="26"/>
      <c r="X216" s="27"/>
    </row>
    <row r="217" spans="1:24" x14ac:dyDescent="0.3">
      <c r="A217" s="53"/>
      <c r="B217" s="53"/>
      <c r="C217" s="53" t="s">
        <v>254</v>
      </c>
      <c r="D217" s="54">
        <v>109.29</v>
      </c>
      <c r="E217" s="27"/>
      <c r="F217" s="7" t="str">
        <f t="shared" si="6"/>
        <v>Järva maakond</v>
      </c>
      <c r="G217" s="7">
        <f t="shared" si="7"/>
        <v>2016</v>
      </c>
      <c r="H217" s="7">
        <v>30709</v>
      </c>
      <c r="I217" s="7">
        <v>3558.89</v>
      </c>
      <c r="W217" s="26"/>
      <c r="X217" s="27"/>
    </row>
    <row r="218" spans="1:24" x14ac:dyDescent="0.3">
      <c r="A218" s="53"/>
      <c r="B218" s="53" t="s">
        <v>258</v>
      </c>
      <c r="C218" s="53" t="s">
        <v>237</v>
      </c>
      <c r="D218" s="54">
        <v>11.88</v>
      </c>
      <c r="E218" s="27"/>
      <c r="F218" s="7" t="str">
        <f t="shared" si="6"/>
        <v>Lääne maakond</v>
      </c>
      <c r="G218" s="7">
        <f t="shared" si="7"/>
        <v>2016</v>
      </c>
      <c r="H218" s="7">
        <v>24580</v>
      </c>
      <c r="I218" s="7">
        <v>483.32</v>
      </c>
      <c r="W218" s="26"/>
      <c r="X218" s="27"/>
    </row>
    <row r="219" spans="1:24" x14ac:dyDescent="0.3">
      <c r="A219" s="53"/>
      <c r="B219" s="53"/>
      <c r="C219" s="53" t="s">
        <v>252</v>
      </c>
      <c r="D219" s="54">
        <v>56.02</v>
      </c>
      <c r="E219" s="27"/>
      <c r="F219" s="7" t="str">
        <f t="shared" si="6"/>
        <v>Lääne maakond</v>
      </c>
      <c r="G219" s="7">
        <f t="shared" si="7"/>
        <v>2016</v>
      </c>
      <c r="H219" s="7">
        <v>24580</v>
      </c>
      <c r="I219" s="7">
        <v>2279.09</v>
      </c>
      <c r="W219" s="26"/>
      <c r="X219" s="27"/>
    </row>
    <row r="220" spans="1:24" x14ac:dyDescent="0.3">
      <c r="A220" s="53"/>
      <c r="B220" s="53"/>
      <c r="C220" s="53" t="s">
        <v>254</v>
      </c>
      <c r="D220" s="54">
        <v>89.28</v>
      </c>
      <c r="E220" s="27"/>
      <c r="F220" s="7" t="str">
        <f t="shared" si="6"/>
        <v>Lääne maakond</v>
      </c>
      <c r="G220" s="7">
        <f t="shared" si="7"/>
        <v>2016</v>
      </c>
      <c r="H220" s="7">
        <v>24580</v>
      </c>
      <c r="I220" s="7">
        <v>3632.22</v>
      </c>
      <c r="W220" s="26"/>
      <c r="X220" s="27"/>
    </row>
    <row r="221" spans="1:24" x14ac:dyDescent="0.3">
      <c r="A221" s="53"/>
      <c r="B221" s="53" t="s">
        <v>242</v>
      </c>
      <c r="C221" s="53" t="s">
        <v>237</v>
      </c>
      <c r="D221" s="54">
        <v>40.4</v>
      </c>
      <c r="E221" s="27"/>
      <c r="F221" s="7" t="str">
        <f t="shared" si="6"/>
        <v>Lääne-Viru maakond</v>
      </c>
      <c r="G221" s="7">
        <f t="shared" si="7"/>
        <v>2016</v>
      </c>
      <c r="H221" s="7">
        <v>59467</v>
      </c>
      <c r="I221" s="7">
        <v>679.37</v>
      </c>
      <c r="W221" s="26"/>
      <c r="X221" s="27"/>
    </row>
    <row r="222" spans="1:24" x14ac:dyDescent="0.3">
      <c r="A222" s="53"/>
      <c r="B222" s="53"/>
      <c r="C222" s="53" t="s">
        <v>252</v>
      </c>
      <c r="D222" s="54">
        <v>237.21</v>
      </c>
      <c r="E222" s="27"/>
      <c r="F222" s="7" t="str">
        <f t="shared" si="6"/>
        <v>Lääne-Viru maakond</v>
      </c>
      <c r="G222" s="7">
        <f t="shared" si="7"/>
        <v>2016</v>
      </c>
      <c r="H222" s="7">
        <v>59467</v>
      </c>
      <c r="I222" s="7">
        <v>3988.94</v>
      </c>
      <c r="W222" s="26"/>
      <c r="X222" s="27"/>
    </row>
    <row r="223" spans="1:24" x14ac:dyDescent="0.3">
      <c r="A223" s="53"/>
      <c r="B223" s="53"/>
      <c r="C223" s="53" t="s">
        <v>254</v>
      </c>
      <c r="D223" s="54">
        <v>209.44</v>
      </c>
      <c r="E223" s="27"/>
      <c r="F223" s="7" t="str">
        <f t="shared" si="6"/>
        <v>Lääne-Viru maakond</v>
      </c>
      <c r="G223" s="7">
        <f t="shared" si="7"/>
        <v>2016</v>
      </c>
      <c r="H223" s="7">
        <v>59467</v>
      </c>
      <c r="I223" s="7">
        <v>3521.95</v>
      </c>
      <c r="W223" s="26"/>
      <c r="X223" s="27"/>
    </row>
    <row r="224" spans="1:24" x14ac:dyDescent="0.3">
      <c r="A224" s="53"/>
      <c r="B224" s="53" t="s">
        <v>248</v>
      </c>
      <c r="C224" s="53" t="s">
        <v>237</v>
      </c>
      <c r="D224" s="54">
        <v>14.28</v>
      </c>
      <c r="E224" s="27"/>
      <c r="F224" s="7" t="str">
        <f t="shared" si="6"/>
        <v>Põlva maakond</v>
      </c>
      <c r="G224" s="7">
        <f t="shared" si="7"/>
        <v>2016</v>
      </c>
      <c r="H224" s="7">
        <v>28218</v>
      </c>
      <c r="I224" s="7">
        <v>506.06</v>
      </c>
      <c r="W224" s="26"/>
      <c r="X224" s="27"/>
    </row>
    <row r="225" spans="1:24" x14ac:dyDescent="0.3">
      <c r="A225" s="53"/>
      <c r="B225" s="53"/>
      <c r="C225" s="53" t="s">
        <v>252</v>
      </c>
      <c r="D225" s="54">
        <v>38.619999999999997</v>
      </c>
      <c r="E225" s="27"/>
      <c r="F225" s="7" t="str">
        <f t="shared" si="6"/>
        <v>Põlva maakond</v>
      </c>
      <c r="G225" s="7">
        <f t="shared" si="7"/>
        <v>2016</v>
      </c>
      <c r="H225" s="7">
        <v>28218</v>
      </c>
      <c r="I225" s="7">
        <v>1368.63</v>
      </c>
      <c r="W225" s="26"/>
      <c r="X225" s="27"/>
    </row>
    <row r="226" spans="1:24" x14ac:dyDescent="0.3">
      <c r="A226" s="53"/>
      <c r="B226" s="53"/>
      <c r="C226" s="53" t="s">
        <v>254</v>
      </c>
      <c r="D226" s="54">
        <v>91.77</v>
      </c>
      <c r="E226" s="27"/>
      <c r="F226" s="7" t="str">
        <f t="shared" si="6"/>
        <v>Põlva maakond</v>
      </c>
      <c r="G226" s="7">
        <f t="shared" si="7"/>
        <v>2016</v>
      </c>
      <c r="H226" s="7">
        <v>28218</v>
      </c>
      <c r="I226" s="7">
        <v>3252.18</v>
      </c>
      <c r="W226" s="26"/>
      <c r="X226" s="27"/>
    </row>
    <row r="227" spans="1:24" x14ac:dyDescent="0.3">
      <c r="A227" s="53"/>
      <c r="B227" s="53" t="s">
        <v>259</v>
      </c>
      <c r="C227" s="53" t="s">
        <v>237</v>
      </c>
      <c r="D227" s="54">
        <v>56.55</v>
      </c>
      <c r="E227" s="27"/>
      <c r="F227" s="7" t="str">
        <f t="shared" si="6"/>
        <v>Pärnu maakond</v>
      </c>
      <c r="G227" s="7">
        <f t="shared" si="7"/>
        <v>2016</v>
      </c>
      <c r="H227" s="7">
        <v>82997</v>
      </c>
      <c r="I227" s="7">
        <v>681.35</v>
      </c>
      <c r="W227" s="26"/>
      <c r="X227" s="27"/>
    </row>
    <row r="228" spans="1:24" x14ac:dyDescent="0.3">
      <c r="A228" s="53"/>
      <c r="B228" s="53"/>
      <c r="C228" s="53" t="s">
        <v>252</v>
      </c>
      <c r="D228" s="54">
        <v>289.33999999999997</v>
      </c>
      <c r="E228" s="27"/>
      <c r="F228" s="7" t="str">
        <f t="shared" si="6"/>
        <v>Pärnu maakond</v>
      </c>
      <c r="G228" s="7">
        <f t="shared" si="7"/>
        <v>2016</v>
      </c>
      <c r="H228" s="7">
        <v>82997</v>
      </c>
      <c r="I228" s="7">
        <v>3486.15</v>
      </c>
      <c r="W228" s="26"/>
      <c r="X228" s="27"/>
    </row>
    <row r="229" spans="1:24" x14ac:dyDescent="0.3">
      <c r="A229" s="53"/>
      <c r="B229" s="53"/>
      <c r="C229" s="53" t="s">
        <v>254</v>
      </c>
      <c r="D229" s="54">
        <v>461.99</v>
      </c>
      <c r="E229" s="27"/>
      <c r="F229" s="7" t="str">
        <f t="shared" si="6"/>
        <v>Pärnu maakond</v>
      </c>
      <c r="G229" s="7">
        <f t="shared" si="7"/>
        <v>2016</v>
      </c>
      <c r="H229" s="7">
        <v>82997</v>
      </c>
      <c r="I229" s="7">
        <v>5566.35</v>
      </c>
      <c r="W229" s="26"/>
      <c r="X229" s="27"/>
    </row>
    <row r="230" spans="1:24" x14ac:dyDescent="0.3">
      <c r="A230" s="53"/>
      <c r="B230" s="53" t="s">
        <v>256</v>
      </c>
      <c r="C230" s="53" t="s">
        <v>237</v>
      </c>
      <c r="D230" s="54">
        <v>28.12</v>
      </c>
      <c r="E230" s="27"/>
      <c r="F230" s="7" t="str">
        <f t="shared" si="6"/>
        <v>Rapla maakond</v>
      </c>
      <c r="G230" s="7">
        <f t="shared" si="7"/>
        <v>2016</v>
      </c>
      <c r="H230" s="7">
        <v>34148</v>
      </c>
      <c r="I230" s="7">
        <v>823.47</v>
      </c>
      <c r="W230" s="26"/>
      <c r="X230" s="27"/>
    </row>
    <row r="231" spans="1:24" x14ac:dyDescent="0.3">
      <c r="A231" s="53"/>
      <c r="B231" s="53"/>
      <c r="C231" s="53" t="s">
        <v>252</v>
      </c>
      <c r="D231" s="54">
        <v>82.08</v>
      </c>
      <c r="E231" s="27"/>
      <c r="F231" s="7" t="str">
        <f t="shared" si="6"/>
        <v>Rapla maakond</v>
      </c>
      <c r="G231" s="7">
        <f t="shared" si="7"/>
        <v>2016</v>
      </c>
      <c r="H231" s="7">
        <v>34148</v>
      </c>
      <c r="I231" s="7">
        <v>2403.65</v>
      </c>
      <c r="W231" s="26"/>
      <c r="X231" s="27"/>
    </row>
    <row r="232" spans="1:24" x14ac:dyDescent="0.3">
      <c r="A232" s="53"/>
      <c r="B232" s="53"/>
      <c r="C232" s="53" t="s">
        <v>254</v>
      </c>
      <c r="D232" s="54">
        <v>137.51</v>
      </c>
      <c r="E232" s="27"/>
      <c r="F232" s="7" t="str">
        <f t="shared" si="6"/>
        <v>Rapla maakond</v>
      </c>
      <c r="G232" s="7">
        <f t="shared" si="7"/>
        <v>2016</v>
      </c>
      <c r="H232" s="7">
        <v>34148</v>
      </c>
      <c r="I232" s="7">
        <v>4026.88</v>
      </c>
      <c r="W232" s="26"/>
      <c r="X232" s="27"/>
    </row>
    <row r="233" spans="1:24" x14ac:dyDescent="0.3">
      <c r="A233" s="53"/>
      <c r="B233" s="53" t="s">
        <v>260</v>
      </c>
      <c r="C233" s="53" t="s">
        <v>237</v>
      </c>
      <c r="D233" s="54">
        <v>11.45</v>
      </c>
      <c r="E233" s="27"/>
      <c r="F233" s="7" t="str">
        <f t="shared" si="6"/>
        <v>Saare maakond</v>
      </c>
      <c r="G233" s="7">
        <f t="shared" si="7"/>
        <v>2016</v>
      </c>
      <c r="H233" s="7">
        <v>33481</v>
      </c>
      <c r="I233" s="7">
        <v>341.99</v>
      </c>
      <c r="W233" s="26"/>
      <c r="X233" s="27"/>
    </row>
    <row r="234" spans="1:24" x14ac:dyDescent="0.3">
      <c r="A234" s="53"/>
      <c r="B234" s="53"/>
      <c r="C234" s="53" t="s">
        <v>252</v>
      </c>
      <c r="D234" s="54">
        <v>109.64</v>
      </c>
      <c r="E234" s="27"/>
      <c r="F234" s="7" t="str">
        <f t="shared" si="6"/>
        <v>Saare maakond</v>
      </c>
      <c r="G234" s="7">
        <f t="shared" si="7"/>
        <v>2016</v>
      </c>
      <c r="H234" s="7">
        <v>33481</v>
      </c>
      <c r="I234" s="7">
        <v>3274.69</v>
      </c>
      <c r="W234" s="26"/>
      <c r="X234" s="27"/>
    </row>
    <row r="235" spans="1:24" x14ac:dyDescent="0.3">
      <c r="A235" s="53"/>
      <c r="B235" s="53"/>
      <c r="C235" s="53" t="s">
        <v>254</v>
      </c>
      <c r="D235" s="54">
        <v>249.98</v>
      </c>
      <c r="E235" s="27"/>
      <c r="F235" s="7" t="str">
        <f t="shared" si="6"/>
        <v>Saare maakond</v>
      </c>
      <c r="G235" s="7">
        <f t="shared" si="7"/>
        <v>2016</v>
      </c>
      <c r="H235" s="7">
        <v>33481</v>
      </c>
      <c r="I235" s="7">
        <v>7466.32</v>
      </c>
      <c r="W235" s="26"/>
      <c r="X235" s="27"/>
    </row>
    <row r="236" spans="1:24" x14ac:dyDescent="0.3">
      <c r="A236" s="53"/>
      <c r="B236" s="53" t="s">
        <v>261</v>
      </c>
      <c r="C236" s="53" t="s">
        <v>237</v>
      </c>
      <c r="D236" s="54">
        <v>62.24</v>
      </c>
      <c r="E236" s="27"/>
      <c r="F236" s="7" t="str">
        <f t="shared" si="6"/>
        <v>Tartu maakond</v>
      </c>
      <c r="G236" s="7">
        <f t="shared" si="7"/>
        <v>2016</v>
      </c>
      <c r="H236" s="7">
        <v>145003</v>
      </c>
      <c r="I236" s="7">
        <v>429.23</v>
      </c>
      <c r="W236" s="26"/>
      <c r="X236" s="27"/>
    </row>
    <row r="237" spans="1:24" x14ac:dyDescent="0.3">
      <c r="A237" s="53"/>
      <c r="B237" s="53"/>
      <c r="C237" s="53" t="s">
        <v>252</v>
      </c>
      <c r="D237" s="54">
        <v>528.22</v>
      </c>
      <c r="E237" s="27"/>
      <c r="F237" s="7" t="str">
        <f t="shared" si="6"/>
        <v>Tartu maakond</v>
      </c>
      <c r="G237" s="7">
        <f t="shared" si="7"/>
        <v>2016</v>
      </c>
      <c r="H237" s="7">
        <v>145003</v>
      </c>
      <c r="I237" s="7">
        <v>3642.82</v>
      </c>
      <c r="W237" s="26"/>
      <c r="X237" s="27"/>
    </row>
    <row r="238" spans="1:24" x14ac:dyDescent="0.3">
      <c r="A238" s="53"/>
      <c r="B238" s="53"/>
      <c r="C238" s="53" t="s">
        <v>254</v>
      </c>
      <c r="D238" s="54">
        <v>1357.13</v>
      </c>
      <c r="E238" s="27"/>
      <c r="F238" s="7" t="str">
        <f t="shared" si="6"/>
        <v>Tartu maakond</v>
      </c>
      <c r="G238" s="7">
        <f t="shared" si="7"/>
        <v>2016</v>
      </c>
      <c r="H238" s="7">
        <v>145003</v>
      </c>
      <c r="I238" s="7">
        <v>9359.32</v>
      </c>
      <c r="W238" s="26"/>
      <c r="X238" s="27"/>
    </row>
    <row r="239" spans="1:24" x14ac:dyDescent="0.3">
      <c r="A239" s="53"/>
      <c r="B239" s="53" t="s">
        <v>253</v>
      </c>
      <c r="C239" s="53" t="s">
        <v>237</v>
      </c>
      <c r="D239" s="54">
        <v>27.64</v>
      </c>
      <c r="E239" s="27"/>
      <c r="F239" s="7" t="str">
        <f t="shared" si="6"/>
        <v>Valga maakond</v>
      </c>
      <c r="G239" s="7">
        <f t="shared" si="7"/>
        <v>2016</v>
      </c>
      <c r="H239" s="7">
        <v>30524</v>
      </c>
      <c r="I239" s="7">
        <v>905.52</v>
      </c>
      <c r="W239" s="26"/>
      <c r="X239" s="27"/>
    </row>
    <row r="240" spans="1:24" x14ac:dyDescent="0.3">
      <c r="A240" s="53"/>
      <c r="B240" s="53"/>
      <c r="C240" s="53" t="s">
        <v>252</v>
      </c>
      <c r="D240" s="54">
        <v>85.45</v>
      </c>
      <c r="E240" s="27"/>
      <c r="F240" s="7" t="str">
        <f t="shared" si="6"/>
        <v>Valga maakond</v>
      </c>
      <c r="G240" s="7">
        <f t="shared" si="7"/>
        <v>2016</v>
      </c>
      <c r="H240" s="7">
        <v>30524</v>
      </c>
      <c r="I240" s="7">
        <v>2799.44</v>
      </c>
      <c r="W240" s="26"/>
      <c r="X240" s="27"/>
    </row>
    <row r="241" spans="1:24" x14ac:dyDescent="0.3">
      <c r="A241" s="53"/>
      <c r="B241" s="53"/>
      <c r="C241" s="53" t="s">
        <v>254</v>
      </c>
      <c r="D241" s="54">
        <v>129.5</v>
      </c>
      <c r="E241" s="27"/>
      <c r="F241" s="7" t="str">
        <f t="shared" si="6"/>
        <v>Valga maakond</v>
      </c>
      <c r="G241" s="7">
        <f t="shared" si="7"/>
        <v>2016</v>
      </c>
      <c r="H241" s="7">
        <v>30524</v>
      </c>
      <c r="I241" s="7">
        <v>4242.5600000000004</v>
      </c>
      <c r="W241" s="26"/>
      <c r="X241" s="27"/>
    </row>
    <row r="242" spans="1:24" x14ac:dyDescent="0.3">
      <c r="A242" s="53"/>
      <c r="B242" s="53" t="s">
        <v>251</v>
      </c>
      <c r="C242" s="53" t="s">
        <v>237</v>
      </c>
      <c r="D242" s="54">
        <v>60.43</v>
      </c>
      <c r="E242" s="27"/>
      <c r="F242" s="7" t="str">
        <f t="shared" si="6"/>
        <v>Viljandi maakond</v>
      </c>
      <c r="G242" s="7">
        <f t="shared" si="7"/>
        <v>2016</v>
      </c>
      <c r="H242" s="7">
        <v>47853</v>
      </c>
      <c r="I242" s="7">
        <v>1262.83</v>
      </c>
      <c r="W242" s="26"/>
      <c r="X242" s="27"/>
    </row>
    <row r="243" spans="1:24" x14ac:dyDescent="0.3">
      <c r="A243" s="53"/>
      <c r="B243" s="53"/>
      <c r="C243" s="53" t="s">
        <v>252</v>
      </c>
      <c r="D243" s="54">
        <v>156.62</v>
      </c>
      <c r="E243" s="27"/>
      <c r="F243" s="7" t="str">
        <f t="shared" si="6"/>
        <v>Viljandi maakond</v>
      </c>
      <c r="G243" s="7">
        <f t="shared" si="7"/>
        <v>2016</v>
      </c>
      <c r="H243" s="7">
        <v>47853</v>
      </c>
      <c r="I243" s="7">
        <v>3272.94</v>
      </c>
      <c r="W243" s="26"/>
      <c r="X243" s="27"/>
    </row>
    <row r="244" spans="1:24" x14ac:dyDescent="0.3">
      <c r="A244" s="53"/>
      <c r="B244" s="53"/>
      <c r="C244" s="53" t="s">
        <v>254</v>
      </c>
      <c r="D244" s="54">
        <v>195.16</v>
      </c>
      <c r="E244" s="27"/>
      <c r="F244" s="7" t="str">
        <f t="shared" si="6"/>
        <v>Viljandi maakond</v>
      </c>
      <c r="G244" s="7">
        <f t="shared" si="7"/>
        <v>2016</v>
      </c>
      <c r="H244" s="7">
        <v>47853</v>
      </c>
      <c r="I244" s="7">
        <v>4078.32</v>
      </c>
      <c r="W244" s="26"/>
      <c r="X244" s="27"/>
    </row>
    <row r="245" spans="1:24" x14ac:dyDescent="0.3">
      <c r="A245" s="53"/>
      <c r="B245" s="53" t="s">
        <v>255</v>
      </c>
      <c r="C245" s="53" t="s">
        <v>237</v>
      </c>
      <c r="D245" s="54">
        <v>24.69</v>
      </c>
      <c r="E245" s="27"/>
      <c r="F245" s="7" t="str">
        <f t="shared" si="6"/>
        <v>Võru maakond</v>
      </c>
      <c r="G245" s="7">
        <f t="shared" si="7"/>
        <v>2016</v>
      </c>
      <c r="H245" s="7">
        <v>33973</v>
      </c>
      <c r="I245" s="7">
        <v>726.75</v>
      </c>
      <c r="W245" s="26"/>
      <c r="X245" s="27"/>
    </row>
    <row r="246" spans="1:24" x14ac:dyDescent="0.3">
      <c r="A246" s="53"/>
      <c r="B246" s="53"/>
      <c r="C246" s="53" t="s">
        <v>252</v>
      </c>
      <c r="D246" s="54">
        <v>95.96</v>
      </c>
      <c r="E246" s="27"/>
      <c r="F246" s="7" t="str">
        <f t="shared" si="6"/>
        <v>Võru maakond</v>
      </c>
      <c r="G246" s="7">
        <f t="shared" si="7"/>
        <v>2016</v>
      </c>
      <c r="H246" s="7">
        <v>33973</v>
      </c>
      <c r="I246" s="7">
        <v>2824.6</v>
      </c>
      <c r="W246" s="26"/>
      <c r="X246" s="27"/>
    </row>
    <row r="247" spans="1:24" x14ac:dyDescent="0.3">
      <c r="A247" s="53"/>
      <c r="B247" s="53"/>
      <c r="C247" s="53" t="s">
        <v>254</v>
      </c>
      <c r="D247" s="54">
        <v>118.76</v>
      </c>
      <c r="E247" s="27"/>
      <c r="F247" s="7" t="str">
        <f t="shared" si="6"/>
        <v>Võru maakond</v>
      </c>
      <c r="G247" s="7">
        <f t="shared" si="7"/>
        <v>2016</v>
      </c>
      <c r="H247" s="7">
        <v>33973</v>
      </c>
      <c r="I247" s="7">
        <v>3495.72</v>
      </c>
      <c r="W247" s="26"/>
      <c r="X247" s="27"/>
    </row>
    <row r="248" spans="1:24" x14ac:dyDescent="0.3">
      <c r="A248" s="53" t="s">
        <v>266</v>
      </c>
      <c r="B248" s="53" t="s">
        <v>250</v>
      </c>
      <c r="C248" s="53" t="s">
        <v>237</v>
      </c>
      <c r="D248" s="54">
        <v>45.93</v>
      </c>
      <c r="E248" s="27"/>
      <c r="F248" s="7" t="str">
        <f t="shared" si="6"/>
        <v>Harju maakond</v>
      </c>
      <c r="G248" s="7">
        <f t="shared" si="7"/>
        <v>2017</v>
      </c>
      <c r="H248" s="7">
        <v>582556</v>
      </c>
      <c r="I248" s="7">
        <v>78.84</v>
      </c>
      <c r="W248" s="26"/>
      <c r="X248" s="27"/>
    </row>
    <row r="249" spans="1:24" x14ac:dyDescent="0.3">
      <c r="A249" s="53"/>
      <c r="B249" s="53"/>
      <c r="C249" s="53" t="s">
        <v>252</v>
      </c>
      <c r="D249" s="54">
        <v>2920.59</v>
      </c>
      <c r="E249" s="27"/>
      <c r="F249" s="7" t="str">
        <f t="shared" si="6"/>
        <v>Harju maakond</v>
      </c>
      <c r="G249" s="7">
        <f t="shared" si="7"/>
        <v>2017</v>
      </c>
      <c r="H249" s="7">
        <v>582556</v>
      </c>
      <c r="I249" s="7">
        <v>5013.41</v>
      </c>
      <c r="W249" s="26"/>
      <c r="X249" s="27"/>
    </row>
    <row r="250" spans="1:24" x14ac:dyDescent="0.3">
      <c r="A250" s="53"/>
      <c r="B250" s="53"/>
      <c r="C250" s="53" t="s">
        <v>254</v>
      </c>
      <c r="D250" s="54">
        <v>10518.19</v>
      </c>
      <c r="E250" s="27"/>
      <c r="F250" s="7" t="str">
        <f t="shared" si="6"/>
        <v>Harju maakond</v>
      </c>
      <c r="G250" s="7">
        <f t="shared" si="7"/>
        <v>2017</v>
      </c>
      <c r="H250" s="7">
        <v>582556</v>
      </c>
      <c r="I250" s="7">
        <v>18055.240000000002</v>
      </c>
      <c r="W250" s="26"/>
      <c r="X250" s="27"/>
    </row>
    <row r="251" spans="1:24" x14ac:dyDescent="0.3">
      <c r="A251" s="53"/>
      <c r="B251" s="53" t="s">
        <v>239</v>
      </c>
      <c r="C251" s="53" t="s">
        <v>237</v>
      </c>
      <c r="D251" s="54">
        <v>5.04</v>
      </c>
      <c r="E251" s="27"/>
      <c r="F251" s="7" t="str">
        <f t="shared" si="6"/>
        <v>Hiiu maakond</v>
      </c>
      <c r="G251" s="7">
        <f t="shared" si="7"/>
        <v>2017</v>
      </c>
      <c r="H251" s="7">
        <v>9335</v>
      </c>
      <c r="I251" s="7">
        <v>539.9</v>
      </c>
      <c r="W251" s="26"/>
      <c r="X251" s="27"/>
    </row>
    <row r="252" spans="1:24" x14ac:dyDescent="0.3">
      <c r="A252" s="53"/>
      <c r="B252" s="53"/>
      <c r="C252" s="53" t="s">
        <v>252</v>
      </c>
      <c r="D252" s="54">
        <v>26.04</v>
      </c>
      <c r="E252" s="27"/>
      <c r="F252" s="7" t="str">
        <f t="shared" si="6"/>
        <v>Hiiu maakond</v>
      </c>
      <c r="G252" s="7">
        <f t="shared" si="7"/>
        <v>2017</v>
      </c>
      <c r="H252" s="7">
        <v>9335</v>
      </c>
      <c r="I252" s="7">
        <v>2789.5</v>
      </c>
      <c r="W252" s="26"/>
      <c r="X252" s="27"/>
    </row>
    <row r="253" spans="1:24" x14ac:dyDescent="0.3">
      <c r="A253" s="53"/>
      <c r="B253" s="53"/>
      <c r="C253" s="53" t="s">
        <v>254</v>
      </c>
      <c r="D253" s="54">
        <v>48.1</v>
      </c>
      <c r="E253" s="27"/>
      <c r="F253" s="7" t="str">
        <f t="shared" si="6"/>
        <v>Hiiu maakond</v>
      </c>
      <c r="G253" s="7">
        <f t="shared" si="7"/>
        <v>2017</v>
      </c>
      <c r="H253" s="7">
        <v>9335</v>
      </c>
      <c r="I253" s="7">
        <v>5152.6499999999996</v>
      </c>
      <c r="W253" s="26"/>
      <c r="X253" s="27"/>
    </row>
    <row r="254" spans="1:24" x14ac:dyDescent="0.3">
      <c r="A254" s="53"/>
      <c r="B254" s="53" t="s">
        <v>257</v>
      </c>
      <c r="C254" s="53" t="s">
        <v>237</v>
      </c>
      <c r="D254" s="54">
        <v>16.22</v>
      </c>
      <c r="E254" s="27"/>
      <c r="F254" s="7" t="str">
        <f t="shared" si="6"/>
        <v>Ida-Viru maakond</v>
      </c>
      <c r="G254" s="7">
        <f t="shared" si="7"/>
        <v>2017</v>
      </c>
      <c r="H254" s="7">
        <v>143880</v>
      </c>
      <c r="I254" s="7">
        <v>112.73</v>
      </c>
      <c r="W254" s="26"/>
      <c r="X254" s="27"/>
    </row>
    <row r="255" spans="1:24" x14ac:dyDescent="0.3">
      <c r="A255" s="53"/>
      <c r="B255" s="53"/>
      <c r="C255" s="53" t="s">
        <v>252</v>
      </c>
      <c r="D255" s="54">
        <v>682.4</v>
      </c>
      <c r="E255" s="27"/>
      <c r="F255" s="7" t="str">
        <f t="shared" si="6"/>
        <v>Ida-Viru maakond</v>
      </c>
      <c r="G255" s="7">
        <f t="shared" si="7"/>
        <v>2017</v>
      </c>
      <c r="H255" s="7">
        <v>143880</v>
      </c>
      <c r="I255" s="7">
        <v>4742.84</v>
      </c>
      <c r="W255" s="26"/>
      <c r="X255" s="27"/>
    </row>
    <row r="256" spans="1:24" x14ac:dyDescent="0.3">
      <c r="A256" s="53"/>
      <c r="B256" s="53"/>
      <c r="C256" s="53" t="s">
        <v>254</v>
      </c>
      <c r="D256" s="54">
        <v>492.99</v>
      </c>
      <c r="E256" s="27"/>
      <c r="F256" s="7" t="str">
        <f t="shared" si="6"/>
        <v>Ida-Viru maakond</v>
      </c>
      <c r="G256" s="7">
        <f t="shared" si="7"/>
        <v>2017</v>
      </c>
      <c r="H256" s="7">
        <v>143880</v>
      </c>
      <c r="I256" s="7">
        <v>3426.4</v>
      </c>
      <c r="W256" s="26"/>
      <c r="X256" s="27"/>
    </row>
    <row r="257" spans="1:24" x14ac:dyDescent="0.3">
      <c r="A257" s="53"/>
      <c r="B257" s="53" t="s">
        <v>240</v>
      </c>
      <c r="C257" s="53" t="s">
        <v>237</v>
      </c>
      <c r="D257" s="54">
        <v>41.52</v>
      </c>
      <c r="E257" s="27"/>
      <c r="F257" s="7" t="str">
        <f t="shared" si="6"/>
        <v>Jõgeva maakond</v>
      </c>
      <c r="G257" s="7">
        <f t="shared" si="7"/>
        <v>2017</v>
      </c>
      <c r="H257" s="7">
        <v>30840</v>
      </c>
      <c r="I257" s="7">
        <v>1346.3</v>
      </c>
      <c r="W257" s="26"/>
      <c r="X257" s="27"/>
    </row>
    <row r="258" spans="1:24" x14ac:dyDescent="0.3">
      <c r="A258" s="53"/>
      <c r="B258" s="53"/>
      <c r="C258" s="53" t="s">
        <v>252</v>
      </c>
      <c r="D258" s="54">
        <v>77.63</v>
      </c>
      <c r="E258" s="27"/>
      <c r="F258" s="7" t="str">
        <f t="shared" si="6"/>
        <v>Jõgeva maakond</v>
      </c>
      <c r="G258" s="7">
        <f t="shared" si="7"/>
        <v>2017</v>
      </c>
      <c r="H258" s="7">
        <v>30840</v>
      </c>
      <c r="I258" s="7">
        <v>2517.19</v>
      </c>
      <c r="W258" s="26"/>
      <c r="X258" s="27"/>
    </row>
    <row r="259" spans="1:24" x14ac:dyDescent="0.3">
      <c r="A259" s="53"/>
      <c r="B259" s="53"/>
      <c r="C259" s="53" t="s">
        <v>254</v>
      </c>
      <c r="D259" s="54">
        <v>101.54</v>
      </c>
      <c r="E259" s="27"/>
      <c r="F259" s="7" t="str">
        <f t="shared" si="6"/>
        <v>Jõgeva maakond</v>
      </c>
      <c r="G259" s="7">
        <f t="shared" si="7"/>
        <v>2017</v>
      </c>
      <c r="H259" s="7">
        <v>30840</v>
      </c>
      <c r="I259" s="7">
        <v>3292.48</v>
      </c>
      <c r="W259" s="26"/>
      <c r="X259" s="27"/>
    </row>
    <row r="260" spans="1:24" x14ac:dyDescent="0.3">
      <c r="A260" s="53"/>
      <c r="B260" s="53" t="s">
        <v>241</v>
      </c>
      <c r="C260" s="53" t="s">
        <v>237</v>
      </c>
      <c r="D260" s="54">
        <v>36.53</v>
      </c>
      <c r="E260" s="27"/>
      <c r="F260" s="7" t="str">
        <f t="shared" si="6"/>
        <v>Järva maakond</v>
      </c>
      <c r="G260" s="7">
        <f t="shared" si="7"/>
        <v>2017</v>
      </c>
      <c r="H260" s="7">
        <v>30378</v>
      </c>
      <c r="I260" s="7">
        <v>1202.51</v>
      </c>
      <c r="W260" s="26"/>
      <c r="X260" s="27"/>
    </row>
    <row r="261" spans="1:24" x14ac:dyDescent="0.3">
      <c r="A261" s="53"/>
      <c r="B261" s="53"/>
      <c r="C261" s="53" t="s">
        <v>252</v>
      </c>
      <c r="D261" s="54">
        <v>114.07</v>
      </c>
      <c r="E261" s="27"/>
      <c r="F261" s="7" t="str">
        <f t="shared" si="6"/>
        <v>Järva maakond</v>
      </c>
      <c r="G261" s="7">
        <f t="shared" si="7"/>
        <v>2017</v>
      </c>
      <c r="H261" s="7">
        <v>30378</v>
      </c>
      <c r="I261" s="7">
        <v>3755.02</v>
      </c>
      <c r="W261" s="26"/>
      <c r="X261" s="27"/>
    </row>
    <row r="262" spans="1:24" x14ac:dyDescent="0.3">
      <c r="A262" s="53"/>
      <c r="B262" s="53"/>
      <c r="C262" s="53" t="s">
        <v>254</v>
      </c>
      <c r="D262" s="54">
        <v>119.89</v>
      </c>
      <c r="E262" s="27"/>
      <c r="F262" s="7" t="str">
        <f t="shared" si="6"/>
        <v>Järva maakond</v>
      </c>
      <c r="G262" s="7">
        <f t="shared" si="7"/>
        <v>2017</v>
      </c>
      <c r="H262" s="7">
        <v>30378</v>
      </c>
      <c r="I262" s="7">
        <v>3946.61</v>
      </c>
      <c r="W262" s="26"/>
      <c r="X262" s="27"/>
    </row>
    <row r="263" spans="1:24" x14ac:dyDescent="0.3">
      <c r="A263" s="53"/>
      <c r="B263" s="53" t="s">
        <v>258</v>
      </c>
      <c r="C263" s="53" t="s">
        <v>237</v>
      </c>
      <c r="D263" s="54">
        <v>14.54</v>
      </c>
      <c r="E263" s="27"/>
      <c r="F263" s="7" t="str">
        <f t="shared" si="6"/>
        <v>Lääne maakond</v>
      </c>
      <c r="G263" s="7">
        <f t="shared" si="7"/>
        <v>2017</v>
      </c>
      <c r="H263" s="7">
        <v>24301</v>
      </c>
      <c r="I263" s="7">
        <v>598.33000000000004</v>
      </c>
      <c r="W263" s="26"/>
      <c r="X263" s="27"/>
    </row>
    <row r="264" spans="1:24" x14ac:dyDescent="0.3">
      <c r="A264" s="53"/>
      <c r="B264" s="53"/>
      <c r="C264" s="53" t="s">
        <v>252</v>
      </c>
      <c r="D264" s="54">
        <v>60.36</v>
      </c>
      <c r="E264" s="27"/>
      <c r="F264" s="7" t="str">
        <f t="shared" si="6"/>
        <v>Lääne maakond</v>
      </c>
      <c r="G264" s="7">
        <f t="shared" si="7"/>
        <v>2017</v>
      </c>
      <c r="H264" s="7">
        <v>24301</v>
      </c>
      <c r="I264" s="7">
        <v>2483.85</v>
      </c>
      <c r="W264" s="26"/>
      <c r="X264" s="27"/>
    </row>
    <row r="265" spans="1:24" x14ac:dyDescent="0.3">
      <c r="A265" s="53"/>
      <c r="B265" s="53"/>
      <c r="C265" s="53" t="s">
        <v>254</v>
      </c>
      <c r="D265" s="54">
        <v>95.95</v>
      </c>
      <c r="E265" s="27"/>
      <c r="F265" s="7" t="str">
        <f t="shared" si="6"/>
        <v>Lääne maakond</v>
      </c>
      <c r="G265" s="7">
        <f t="shared" si="7"/>
        <v>2017</v>
      </c>
      <c r="H265" s="7">
        <v>24301</v>
      </c>
      <c r="I265" s="7">
        <v>3948.4</v>
      </c>
      <c r="W265" s="26"/>
      <c r="X265" s="27"/>
    </row>
    <row r="266" spans="1:24" x14ac:dyDescent="0.3">
      <c r="A266" s="53"/>
      <c r="B266" s="53" t="s">
        <v>242</v>
      </c>
      <c r="C266" s="53" t="s">
        <v>237</v>
      </c>
      <c r="D266" s="54">
        <v>49.83</v>
      </c>
      <c r="E266" s="27"/>
      <c r="F266" s="7" t="str">
        <f t="shared" si="6"/>
        <v>Lääne-Viru maakond</v>
      </c>
      <c r="G266" s="7">
        <f t="shared" si="7"/>
        <v>2017</v>
      </c>
      <c r="H266" s="7">
        <v>58856</v>
      </c>
      <c r="I266" s="7">
        <v>846.64</v>
      </c>
      <c r="W266" s="26"/>
      <c r="X266" s="27"/>
    </row>
    <row r="267" spans="1:24" x14ac:dyDescent="0.3">
      <c r="A267" s="53"/>
      <c r="B267" s="53"/>
      <c r="C267" s="53" t="s">
        <v>252</v>
      </c>
      <c r="D267" s="54">
        <v>264.99</v>
      </c>
      <c r="E267" s="27"/>
      <c r="F267" s="7" t="str">
        <f t="shared" si="6"/>
        <v>Lääne-Viru maakond</v>
      </c>
      <c r="G267" s="7">
        <f t="shared" si="7"/>
        <v>2017</v>
      </c>
      <c r="H267" s="7">
        <v>58856</v>
      </c>
      <c r="I267" s="7">
        <v>4502.34</v>
      </c>
      <c r="W267" s="26"/>
      <c r="X267" s="27"/>
    </row>
    <row r="268" spans="1:24" x14ac:dyDescent="0.3">
      <c r="A268" s="53"/>
      <c r="B268" s="53"/>
      <c r="C268" s="53" t="s">
        <v>254</v>
      </c>
      <c r="D268" s="54">
        <v>230.36</v>
      </c>
      <c r="E268" s="27"/>
      <c r="F268" s="7" t="str">
        <f t="shared" si="6"/>
        <v>Lääne-Viru maakond</v>
      </c>
      <c r="G268" s="7">
        <f t="shared" si="7"/>
        <v>2017</v>
      </c>
      <c r="H268" s="7">
        <v>58856</v>
      </c>
      <c r="I268" s="7">
        <v>3913.96</v>
      </c>
      <c r="W268" s="26"/>
      <c r="X268" s="27"/>
    </row>
    <row r="269" spans="1:24" x14ac:dyDescent="0.3">
      <c r="A269" s="53"/>
      <c r="B269" s="53" t="s">
        <v>248</v>
      </c>
      <c r="C269" s="53" t="s">
        <v>237</v>
      </c>
      <c r="D269" s="54">
        <v>24.24</v>
      </c>
      <c r="E269" s="27"/>
      <c r="F269" s="7" t="str">
        <f t="shared" si="6"/>
        <v>Põlva maakond</v>
      </c>
      <c r="G269" s="7">
        <f t="shared" si="7"/>
        <v>2017</v>
      </c>
      <c r="H269" s="7">
        <v>27963</v>
      </c>
      <c r="I269" s="7">
        <v>866.86</v>
      </c>
      <c r="W269" s="26"/>
      <c r="X269" s="27"/>
    </row>
    <row r="270" spans="1:24" x14ac:dyDescent="0.3">
      <c r="A270" s="53"/>
      <c r="B270" s="53"/>
      <c r="C270" s="53" t="s">
        <v>252</v>
      </c>
      <c r="D270" s="54">
        <v>45.52</v>
      </c>
      <c r="E270" s="27"/>
      <c r="F270" s="7" t="str">
        <f t="shared" si="6"/>
        <v>Põlva maakond</v>
      </c>
      <c r="G270" s="7">
        <f t="shared" si="7"/>
        <v>2017</v>
      </c>
      <c r="H270" s="7">
        <v>27963</v>
      </c>
      <c r="I270" s="7">
        <v>1627.87</v>
      </c>
      <c r="W270" s="26"/>
      <c r="X270" s="27"/>
    </row>
    <row r="271" spans="1:24" x14ac:dyDescent="0.3">
      <c r="A271" s="53"/>
      <c r="B271" s="53"/>
      <c r="C271" s="53" t="s">
        <v>254</v>
      </c>
      <c r="D271" s="54">
        <v>99.06</v>
      </c>
      <c r="E271" s="27"/>
      <c r="F271" s="7" t="str">
        <f t="shared" si="6"/>
        <v>Põlva maakond</v>
      </c>
      <c r="G271" s="7">
        <f t="shared" si="7"/>
        <v>2017</v>
      </c>
      <c r="H271" s="7">
        <v>27963</v>
      </c>
      <c r="I271" s="7">
        <v>3542.54</v>
      </c>
      <c r="W271" s="26"/>
      <c r="X271" s="27"/>
    </row>
    <row r="272" spans="1:24" x14ac:dyDescent="0.3">
      <c r="A272" s="53"/>
      <c r="B272" s="53" t="s">
        <v>259</v>
      </c>
      <c r="C272" s="53" t="s">
        <v>237</v>
      </c>
      <c r="D272" s="54">
        <v>65.510000000000005</v>
      </c>
      <c r="E272" s="27"/>
      <c r="F272" s="7" t="str">
        <f t="shared" si="6"/>
        <v>Pärnu maakond</v>
      </c>
      <c r="G272" s="7">
        <f t="shared" si="7"/>
        <v>2017</v>
      </c>
      <c r="H272" s="7">
        <v>82535</v>
      </c>
      <c r="I272" s="7">
        <v>793.72</v>
      </c>
      <c r="W272" s="26"/>
      <c r="X272" s="27"/>
    </row>
    <row r="273" spans="1:24" x14ac:dyDescent="0.3">
      <c r="A273" s="53"/>
      <c r="B273" s="53"/>
      <c r="C273" s="53" t="s">
        <v>252</v>
      </c>
      <c r="D273" s="54">
        <v>304.7</v>
      </c>
      <c r="E273" s="27"/>
      <c r="F273" s="7" t="str">
        <f t="shared" si="6"/>
        <v>Pärnu maakond</v>
      </c>
      <c r="G273" s="7">
        <f t="shared" si="7"/>
        <v>2017</v>
      </c>
      <c r="H273" s="7">
        <v>82535</v>
      </c>
      <c r="I273" s="7">
        <v>3691.77</v>
      </c>
      <c r="W273" s="26"/>
      <c r="X273" s="27"/>
    </row>
    <row r="274" spans="1:24" x14ac:dyDescent="0.3">
      <c r="A274" s="53"/>
      <c r="B274" s="53"/>
      <c r="C274" s="53" t="s">
        <v>254</v>
      </c>
      <c r="D274" s="54">
        <v>481.29</v>
      </c>
      <c r="E274" s="27"/>
      <c r="F274" s="7" t="str">
        <f t="shared" si="6"/>
        <v>Pärnu maakond</v>
      </c>
      <c r="G274" s="7">
        <f t="shared" si="7"/>
        <v>2017</v>
      </c>
      <c r="H274" s="7">
        <v>82535</v>
      </c>
      <c r="I274" s="7">
        <v>5831.34</v>
      </c>
      <c r="W274" s="26"/>
      <c r="X274" s="27"/>
    </row>
    <row r="275" spans="1:24" x14ac:dyDescent="0.3">
      <c r="A275" s="53"/>
      <c r="B275" s="53" t="s">
        <v>256</v>
      </c>
      <c r="C275" s="53" t="s">
        <v>237</v>
      </c>
      <c r="D275" s="54">
        <v>28.71</v>
      </c>
      <c r="E275" s="27"/>
      <c r="F275" s="7" t="str">
        <f t="shared" si="6"/>
        <v>Rapla maakond</v>
      </c>
      <c r="G275" s="7">
        <f t="shared" si="7"/>
        <v>2017</v>
      </c>
      <c r="H275" s="7">
        <v>34085</v>
      </c>
      <c r="I275" s="7">
        <v>842.31</v>
      </c>
      <c r="W275" s="26"/>
      <c r="X275" s="27"/>
    </row>
    <row r="276" spans="1:24" x14ac:dyDescent="0.3">
      <c r="A276" s="53"/>
      <c r="B276" s="53"/>
      <c r="C276" s="53" t="s">
        <v>252</v>
      </c>
      <c r="D276" s="54">
        <v>98.22</v>
      </c>
      <c r="E276" s="27"/>
      <c r="F276" s="7" t="str">
        <f t="shared" si="6"/>
        <v>Rapla maakond</v>
      </c>
      <c r="G276" s="7">
        <f t="shared" si="7"/>
        <v>2017</v>
      </c>
      <c r="H276" s="7">
        <v>34085</v>
      </c>
      <c r="I276" s="7">
        <v>2881.62</v>
      </c>
      <c r="W276" s="26"/>
      <c r="X276" s="27"/>
    </row>
    <row r="277" spans="1:24" x14ac:dyDescent="0.3">
      <c r="A277" s="53"/>
      <c r="B277" s="53"/>
      <c r="C277" s="53" t="s">
        <v>254</v>
      </c>
      <c r="D277" s="54">
        <v>154.74</v>
      </c>
      <c r="E277" s="27"/>
      <c r="F277" s="7" t="str">
        <f t="shared" si="6"/>
        <v>Rapla maakond</v>
      </c>
      <c r="G277" s="7">
        <f t="shared" si="7"/>
        <v>2017</v>
      </c>
      <c r="H277" s="7">
        <v>34085</v>
      </c>
      <c r="I277" s="7">
        <v>4539.83</v>
      </c>
      <c r="W277" s="26"/>
      <c r="X277" s="27"/>
    </row>
    <row r="278" spans="1:24" x14ac:dyDescent="0.3">
      <c r="A278" s="53"/>
      <c r="B278" s="53" t="s">
        <v>260</v>
      </c>
      <c r="C278" s="53" t="s">
        <v>237</v>
      </c>
      <c r="D278" s="54">
        <v>15.38</v>
      </c>
      <c r="E278" s="27"/>
      <c r="F278" s="7" t="str">
        <f t="shared" si="6"/>
        <v>Saare maakond</v>
      </c>
      <c r="G278" s="7">
        <f t="shared" si="7"/>
        <v>2017</v>
      </c>
      <c r="H278" s="7">
        <v>33307</v>
      </c>
      <c r="I278" s="7">
        <v>461.76</v>
      </c>
      <c r="W278" s="26"/>
      <c r="X278" s="27"/>
    </row>
    <row r="279" spans="1:24" x14ac:dyDescent="0.3">
      <c r="A279" s="53"/>
      <c r="B279" s="53"/>
      <c r="C279" s="53" t="s">
        <v>252</v>
      </c>
      <c r="D279" s="54">
        <v>117.12</v>
      </c>
      <c r="E279" s="27"/>
      <c r="F279" s="7" t="str">
        <f t="shared" si="6"/>
        <v>Saare maakond</v>
      </c>
      <c r="G279" s="7">
        <f t="shared" si="7"/>
        <v>2017</v>
      </c>
      <c r="H279" s="7">
        <v>33307</v>
      </c>
      <c r="I279" s="7">
        <v>3516.38</v>
      </c>
      <c r="W279" s="26"/>
      <c r="X279" s="27"/>
    </row>
    <row r="280" spans="1:24" x14ac:dyDescent="0.3">
      <c r="A280" s="53"/>
      <c r="B280" s="53"/>
      <c r="C280" s="53" t="s">
        <v>254</v>
      </c>
      <c r="D280" s="54">
        <v>213.24</v>
      </c>
      <c r="E280" s="27"/>
      <c r="F280" s="7" t="str">
        <f t="shared" ref="F280:F343" si="8">IF(NOT(ISBLANK(B280)),B280,F279)</f>
        <v>Saare maakond</v>
      </c>
      <c r="G280" s="7">
        <f t="shared" ref="G280:G343" si="9">_xlfn.NUMBERVALUE(IF(NOT(ISBLANK(A280)),A280,G279))</f>
        <v>2017</v>
      </c>
      <c r="H280" s="7">
        <v>33307</v>
      </c>
      <c r="I280" s="7">
        <v>6402.26</v>
      </c>
      <c r="W280" s="26"/>
      <c r="X280" s="27"/>
    </row>
    <row r="281" spans="1:24" x14ac:dyDescent="0.3">
      <c r="A281" s="53"/>
      <c r="B281" s="53" t="s">
        <v>261</v>
      </c>
      <c r="C281" s="53" t="s">
        <v>237</v>
      </c>
      <c r="D281" s="54">
        <v>75.290000000000006</v>
      </c>
      <c r="E281" s="27"/>
      <c r="F281" s="7" t="str">
        <f t="shared" si="8"/>
        <v>Tartu maakond</v>
      </c>
      <c r="G281" s="7">
        <f t="shared" si="9"/>
        <v>2017</v>
      </c>
      <c r="H281" s="7">
        <v>145550</v>
      </c>
      <c r="I281" s="7">
        <v>517.28</v>
      </c>
      <c r="W281" s="26"/>
      <c r="X281" s="27"/>
    </row>
    <row r="282" spans="1:24" x14ac:dyDescent="0.3">
      <c r="A282" s="53"/>
      <c r="B282" s="53"/>
      <c r="C282" s="53" t="s">
        <v>252</v>
      </c>
      <c r="D282" s="54">
        <v>568.41</v>
      </c>
      <c r="E282" s="27"/>
      <c r="F282" s="7" t="str">
        <f t="shared" si="8"/>
        <v>Tartu maakond</v>
      </c>
      <c r="G282" s="7">
        <f t="shared" si="9"/>
        <v>2017</v>
      </c>
      <c r="H282" s="7">
        <v>145550</v>
      </c>
      <c r="I282" s="7">
        <v>3905.26</v>
      </c>
      <c r="W282" s="26"/>
      <c r="X282" s="27"/>
    </row>
    <row r="283" spans="1:24" x14ac:dyDescent="0.3">
      <c r="A283" s="53"/>
      <c r="B283" s="53"/>
      <c r="C283" s="53" t="s">
        <v>254</v>
      </c>
      <c r="D283" s="54">
        <v>1495.26</v>
      </c>
      <c r="E283" s="27"/>
      <c r="F283" s="7" t="str">
        <f t="shared" si="8"/>
        <v>Tartu maakond</v>
      </c>
      <c r="G283" s="7">
        <f t="shared" si="9"/>
        <v>2017</v>
      </c>
      <c r="H283" s="7">
        <v>145550</v>
      </c>
      <c r="I283" s="7">
        <v>10273.17</v>
      </c>
      <c r="W283" s="26"/>
      <c r="X283" s="27"/>
    </row>
    <row r="284" spans="1:24" x14ac:dyDescent="0.3">
      <c r="A284" s="53"/>
      <c r="B284" s="53" t="s">
        <v>253</v>
      </c>
      <c r="C284" s="53" t="s">
        <v>237</v>
      </c>
      <c r="D284" s="54">
        <v>28.76</v>
      </c>
      <c r="E284" s="27"/>
      <c r="F284" s="7" t="str">
        <f t="shared" si="8"/>
        <v>Valga maakond</v>
      </c>
      <c r="G284" s="7">
        <f t="shared" si="9"/>
        <v>2017</v>
      </c>
      <c r="H284" s="7">
        <v>30084</v>
      </c>
      <c r="I284" s="7">
        <v>955.99</v>
      </c>
      <c r="W284" s="26"/>
      <c r="X284" s="27"/>
    </row>
    <row r="285" spans="1:24" x14ac:dyDescent="0.3">
      <c r="A285" s="53"/>
      <c r="B285" s="53"/>
      <c r="C285" s="53" t="s">
        <v>252</v>
      </c>
      <c r="D285" s="54">
        <v>85.66</v>
      </c>
      <c r="E285" s="27"/>
      <c r="F285" s="7" t="str">
        <f t="shared" si="8"/>
        <v>Valga maakond</v>
      </c>
      <c r="G285" s="7">
        <f t="shared" si="9"/>
        <v>2017</v>
      </c>
      <c r="H285" s="7">
        <v>30084</v>
      </c>
      <c r="I285" s="7">
        <v>2847.36</v>
      </c>
      <c r="W285" s="26"/>
      <c r="X285" s="27"/>
    </row>
    <row r="286" spans="1:24" x14ac:dyDescent="0.3">
      <c r="A286" s="53"/>
      <c r="B286" s="53"/>
      <c r="C286" s="53" t="s">
        <v>254</v>
      </c>
      <c r="D286" s="54">
        <v>102.15</v>
      </c>
      <c r="E286" s="27"/>
      <c r="F286" s="7" t="str">
        <f t="shared" si="8"/>
        <v>Valga maakond</v>
      </c>
      <c r="G286" s="7">
        <f t="shared" si="9"/>
        <v>2017</v>
      </c>
      <c r="H286" s="7">
        <v>30084</v>
      </c>
      <c r="I286" s="7">
        <v>3395.49</v>
      </c>
      <c r="W286" s="26"/>
      <c r="X286" s="27"/>
    </row>
    <row r="287" spans="1:24" x14ac:dyDescent="0.3">
      <c r="A287" s="53"/>
      <c r="B287" s="53" t="s">
        <v>251</v>
      </c>
      <c r="C287" s="53" t="s">
        <v>237</v>
      </c>
      <c r="D287" s="54">
        <v>89.02</v>
      </c>
      <c r="E287" s="27"/>
      <c r="F287" s="7" t="str">
        <f t="shared" si="8"/>
        <v>Viljandi maakond</v>
      </c>
      <c r="G287" s="7">
        <f t="shared" si="9"/>
        <v>2017</v>
      </c>
      <c r="H287" s="7">
        <v>47288</v>
      </c>
      <c r="I287" s="7">
        <v>1882.51</v>
      </c>
      <c r="W287" s="26"/>
      <c r="X287" s="27"/>
    </row>
    <row r="288" spans="1:24" x14ac:dyDescent="0.3">
      <c r="A288" s="53"/>
      <c r="B288" s="53"/>
      <c r="C288" s="53" t="s">
        <v>252</v>
      </c>
      <c r="D288" s="54">
        <v>163.76</v>
      </c>
      <c r="E288" s="27"/>
      <c r="F288" s="7" t="str">
        <f t="shared" si="8"/>
        <v>Viljandi maakond</v>
      </c>
      <c r="G288" s="7">
        <f t="shared" si="9"/>
        <v>2017</v>
      </c>
      <c r="H288" s="7">
        <v>47288</v>
      </c>
      <c r="I288" s="7">
        <v>3463.04</v>
      </c>
      <c r="W288" s="26"/>
      <c r="X288" s="27"/>
    </row>
    <row r="289" spans="1:24" x14ac:dyDescent="0.3">
      <c r="A289" s="53"/>
      <c r="B289" s="53"/>
      <c r="C289" s="53" t="s">
        <v>254</v>
      </c>
      <c r="D289" s="54">
        <v>218.53</v>
      </c>
      <c r="E289" s="27"/>
      <c r="F289" s="7" t="str">
        <f t="shared" si="8"/>
        <v>Viljandi maakond</v>
      </c>
      <c r="G289" s="7">
        <f t="shared" si="9"/>
        <v>2017</v>
      </c>
      <c r="H289" s="7">
        <v>47288</v>
      </c>
      <c r="I289" s="7">
        <v>4621.26</v>
      </c>
      <c r="W289" s="26"/>
      <c r="X289" s="27"/>
    </row>
    <row r="290" spans="1:24" x14ac:dyDescent="0.3">
      <c r="A290" s="53"/>
      <c r="B290" s="53" t="s">
        <v>255</v>
      </c>
      <c r="C290" s="53" t="s">
        <v>237</v>
      </c>
      <c r="D290" s="54">
        <v>29.96</v>
      </c>
      <c r="E290" s="27"/>
      <c r="F290" s="7" t="str">
        <f t="shared" si="8"/>
        <v>Võru maakond</v>
      </c>
      <c r="G290" s="7">
        <f t="shared" si="9"/>
        <v>2017</v>
      </c>
      <c r="H290" s="7">
        <v>33505</v>
      </c>
      <c r="I290" s="7">
        <v>894.19</v>
      </c>
      <c r="W290" s="26"/>
      <c r="X290" s="27"/>
    </row>
    <row r="291" spans="1:24" x14ac:dyDescent="0.3">
      <c r="A291" s="53"/>
      <c r="B291" s="53"/>
      <c r="C291" s="53" t="s">
        <v>252</v>
      </c>
      <c r="D291" s="54">
        <v>104.77</v>
      </c>
      <c r="E291" s="27"/>
      <c r="F291" s="7" t="str">
        <f t="shared" si="8"/>
        <v>Võru maakond</v>
      </c>
      <c r="G291" s="7">
        <f t="shared" si="9"/>
        <v>2017</v>
      </c>
      <c r="H291" s="7">
        <v>33505</v>
      </c>
      <c r="I291" s="7">
        <v>3127</v>
      </c>
      <c r="W291" s="26"/>
      <c r="X291" s="27"/>
    </row>
    <row r="292" spans="1:24" x14ac:dyDescent="0.3">
      <c r="A292" s="53"/>
      <c r="B292" s="53"/>
      <c r="C292" s="53" t="s">
        <v>254</v>
      </c>
      <c r="D292" s="54">
        <v>128.43</v>
      </c>
      <c r="E292" s="27"/>
      <c r="F292" s="7" t="str">
        <f t="shared" si="8"/>
        <v>Võru maakond</v>
      </c>
      <c r="G292" s="7">
        <f t="shared" si="9"/>
        <v>2017</v>
      </c>
      <c r="H292" s="7">
        <v>33505</v>
      </c>
      <c r="I292" s="7">
        <v>3833.16</v>
      </c>
      <c r="W292" s="26"/>
      <c r="X292" s="27"/>
    </row>
    <row r="293" spans="1:24" x14ac:dyDescent="0.3">
      <c r="A293" s="53" t="s">
        <v>267</v>
      </c>
      <c r="B293" s="53" t="s">
        <v>250</v>
      </c>
      <c r="C293" s="53" t="s">
        <v>237</v>
      </c>
      <c r="D293" s="54">
        <v>67.209999999999994</v>
      </c>
      <c r="E293" s="27"/>
      <c r="F293" s="7" t="str">
        <f t="shared" si="8"/>
        <v>Harju maakond</v>
      </c>
      <c r="G293" s="7">
        <f t="shared" si="9"/>
        <v>2018</v>
      </c>
      <c r="H293" s="7">
        <v>589610</v>
      </c>
      <c r="I293" s="7">
        <v>113.99</v>
      </c>
      <c r="W293" s="26"/>
      <c r="X293" s="27"/>
    </row>
    <row r="294" spans="1:24" x14ac:dyDescent="0.3">
      <c r="A294" s="53"/>
      <c r="B294" s="53"/>
      <c r="C294" s="53" t="s">
        <v>252</v>
      </c>
      <c r="D294" s="54">
        <v>3091.34</v>
      </c>
      <c r="E294" s="27"/>
      <c r="F294" s="7" t="str">
        <f t="shared" si="8"/>
        <v>Harju maakond</v>
      </c>
      <c r="G294" s="7">
        <f t="shared" si="9"/>
        <v>2018</v>
      </c>
      <c r="H294" s="7">
        <v>589610</v>
      </c>
      <c r="I294" s="7">
        <v>5243.03</v>
      </c>
      <c r="W294" s="26"/>
      <c r="X294" s="27"/>
    </row>
    <row r="295" spans="1:24" x14ac:dyDescent="0.3">
      <c r="A295" s="53"/>
      <c r="B295" s="53"/>
      <c r="C295" s="53" t="s">
        <v>254</v>
      </c>
      <c r="D295" s="54">
        <v>11489.15</v>
      </c>
      <c r="E295" s="27"/>
      <c r="F295" s="7" t="str">
        <f t="shared" si="8"/>
        <v>Harju maakond</v>
      </c>
      <c r="G295" s="7">
        <f t="shared" si="9"/>
        <v>2018</v>
      </c>
      <c r="H295" s="7">
        <v>589610</v>
      </c>
      <c r="I295" s="7">
        <v>19486.02</v>
      </c>
      <c r="W295" s="26"/>
      <c r="X295" s="27"/>
    </row>
    <row r="296" spans="1:24" x14ac:dyDescent="0.3">
      <c r="A296" s="53"/>
      <c r="B296" s="53" t="s">
        <v>239</v>
      </c>
      <c r="C296" s="53" t="s">
        <v>237</v>
      </c>
      <c r="D296" s="54">
        <v>6.5</v>
      </c>
      <c r="E296" s="27"/>
      <c r="F296" s="7" t="str">
        <f t="shared" si="8"/>
        <v>Hiiu maakond</v>
      </c>
      <c r="G296" s="7">
        <f t="shared" si="9"/>
        <v>2018</v>
      </c>
      <c r="H296" s="7">
        <v>9387</v>
      </c>
      <c r="I296" s="7">
        <v>692.45</v>
      </c>
      <c r="W296" s="26"/>
      <c r="X296" s="27"/>
    </row>
    <row r="297" spans="1:24" x14ac:dyDescent="0.3">
      <c r="A297" s="53"/>
      <c r="B297" s="53"/>
      <c r="C297" s="53" t="s">
        <v>252</v>
      </c>
      <c r="D297" s="54">
        <v>32.69</v>
      </c>
      <c r="E297" s="27"/>
      <c r="F297" s="7" t="str">
        <f t="shared" si="8"/>
        <v>Hiiu maakond</v>
      </c>
      <c r="G297" s="7">
        <f t="shared" si="9"/>
        <v>2018</v>
      </c>
      <c r="H297" s="7">
        <v>9387</v>
      </c>
      <c r="I297" s="7">
        <v>3482.48</v>
      </c>
      <c r="W297" s="26"/>
      <c r="X297" s="27"/>
    </row>
    <row r="298" spans="1:24" x14ac:dyDescent="0.3">
      <c r="A298" s="53"/>
      <c r="B298" s="53"/>
      <c r="C298" s="53" t="s">
        <v>254</v>
      </c>
      <c r="D298" s="54">
        <v>52.65</v>
      </c>
      <c r="E298" s="27"/>
      <c r="F298" s="7" t="str">
        <f t="shared" si="8"/>
        <v>Hiiu maakond</v>
      </c>
      <c r="G298" s="7">
        <f t="shared" si="9"/>
        <v>2018</v>
      </c>
      <c r="H298" s="7">
        <v>9387</v>
      </c>
      <c r="I298" s="7">
        <v>5608.82</v>
      </c>
      <c r="W298" s="26"/>
      <c r="X298" s="27"/>
    </row>
    <row r="299" spans="1:24" x14ac:dyDescent="0.3">
      <c r="A299" s="53"/>
      <c r="B299" s="53" t="s">
        <v>257</v>
      </c>
      <c r="C299" s="53" t="s">
        <v>237</v>
      </c>
      <c r="D299" s="54">
        <v>12.95</v>
      </c>
      <c r="E299" s="27"/>
      <c r="F299" s="7" t="str">
        <f t="shared" si="8"/>
        <v>Ida-Viru maakond</v>
      </c>
      <c r="G299" s="7">
        <f t="shared" si="9"/>
        <v>2018</v>
      </c>
      <c r="H299" s="7">
        <v>138266</v>
      </c>
      <c r="I299" s="7">
        <v>93.66</v>
      </c>
      <c r="W299" s="26"/>
      <c r="X299" s="27"/>
    </row>
    <row r="300" spans="1:24" x14ac:dyDescent="0.3">
      <c r="A300" s="53"/>
      <c r="B300" s="53"/>
      <c r="C300" s="53" t="s">
        <v>252</v>
      </c>
      <c r="D300" s="54">
        <v>857.98</v>
      </c>
      <c r="E300" s="27"/>
      <c r="F300" s="7" t="str">
        <f t="shared" si="8"/>
        <v>Ida-Viru maakond</v>
      </c>
      <c r="G300" s="7">
        <f t="shared" si="9"/>
        <v>2018</v>
      </c>
      <c r="H300" s="7">
        <v>138266</v>
      </c>
      <c r="I300" s="7">
        <v>6205.29</v>
      </c>
      <c r="W300" s="26"/>
      <c r="X300" s="27"/>
    </row>
    <row r="301" spans="1:24" x14ac:dyDescent="0.3">
      <c r="A301" s="53"/>
      <c r="B301" s="53"/>
      <c r="C301" s="53" t="s">
        <v>254</v>
      </c>
      <c r="D301" s="54">
        <v>534.74</v>
      </c>
      <c r="E301" s="27"/>
      <c r="F301" s="7" t="str">
        <f t="shared" si="8"/>
        <v>Ida-Viru maakond</v>
      </c>
      <c r="G301" s="7">
        <f t="shared" si="9"/>
        <v>2018</v>
      </c>
      <c r="H301" s="7">
        <v>138266</v>
      </c>
      <c r="I301" s="7">
        <v>3867.47</v>
      </c>
      <c r="W301" s="26"/>
      <c r="X301" s="27"/>
    </row>
    <row r="302" spans="1:24" x14ac:dyDescent="0.3">
      <c r="A302" s="53"/>
      <c r="B302" s="53" t="s">
        <v>240</v>
      </c>
      <c r="C302" s="53" t="s">
        <v>237</v>
      </c>
      <c r="D302" s="54">
        <v>27.92</v>
      </c>
      <c r="E302" s="27"/>
      <c r="F302" s="7" t="str">
        <f t="shared" si="8"/>
        <v>Jõgeva maakond</v>
      </c>
      <c r="G302" s="7">
        <f t="shared" si="9"/>
        <v>2018</v>
      </c>
      <c r="H302" s="7">
        <v>29119</v>
      </c>
      <c r="I302" s="7">
        <v>958.82</v>
      </c>
      <c r="W302" s="26"/>
      <c r="X302" s="27"/>
    </row>
    <row r="303" spans="1:24" x14ac:dyDescent="0.3">
      <c r="A303" s="53"/>
      <c r="B303" s="53"/>
      <c r="C303" s="53" t="s">
        <v>252</v>
      </c>
      <c r="D303" s="54">
        <v>68.41</v>
      </c>
      <c r="E303" s="27"/>
      <c r="F303" s="7" t="str">
        <f t="shared" si="8"/>
        <v>Jõgeva maakond</v>
      </c>
      <c r="G303" s="7">
        <f t="shared" si="9"/>
        <v>2018</v>
      </c>
      <c r="H303" s="7">
        <v>29119</v>
      </c>
      <c r="I303" s="7">
        <v>2349.33</v>
      </c>
      <c r="W303" s="26"/>
      <c r="X303" s="27"/>
    </row>
    <row r="304" spans="1:24" x14ac:dyDescent="0.3">
      <c r="A304" s="53"/>
      <c r="B304" s="53"/>
      <c r="C304" s="53" t="s">
        <v>254</v>
      </c>
      <c r="D304" s="54">
        <v>115.18</v>
      </c>
      <c r="E304" s="27"/>
      <c r="F304" s="7" t="str">
        <f t="shared" si="8"/>
        <v>Jõgeva maakond</v>
      </c>
      <c r="G304" s="7">
        <f t="shared" si="9"/>
        <v>2018</v>
      </c>
      <c r="H304" s="7">
        <v>29119</v>
      </c>
      <c r="I304" s="7">
        <v>3955.49</v>
      </c>
      <c r="W304" s="26"/>
      <c r="X304" s="27"/>
    </row>
    <row r="305" spans="1:24" x14ac:dyDescent="0.3">
      <c r="A305" s="53"/>
      <c r="B305" s="53" t="s">
        <v>241</v>
      </c>
      <c r="C305" s="53" t="s">
        <v>237</v>
      </c>
      <c r="D305" s="54">
        <v>27.53</v>
      </c>
      <c r="E305" s="27"/>
      <c r="F305" s="7" t="str">
        <f t="shared" si="8"/>
        <v>Järva maakond</v>
      </c>
      <c r="G305" s="7">
        <f t="shared" si="9"/>
        <v>2018</v>
      </c>
      <c r="H305" s="7">
        <v>30661</v>
      </c>
      <c r="I305" s="7">
        <v>897.88</v>
      </c>
      <c r="W305" s="26"/>
      <c r="X305" s="27"/>
    </row>
    <row r="306" spans="1:24" x14ac:dyDescent="0.3">
      <c r="A306" s="53"/>
      <c r="B306" s="53"/>
      <c r="C306" s="53" t="s">
        <v>252</v>
      </c>
      <c r="D306" s="54">
        <v>124.84</v>
      </c>
      <c r="E306" s="27"/>
      <c r="F306" s="7" t="str">
        <f t="shared" si="8"/>
        <v>Järva maakond</v>
      </c>
      <c r="G306" s="7">
        <f t="shared" si="9"/>
        <v>2018</v>
      </c>
      <c r="H306" s="7">
        <v>30661</v>
      </c>
      <c r="I306" s="7">
        <v>4071.62</v>
      </c>
      <c r="W306" s="26"/>
      <c r="X306" s="27"/>
    </row>
    <row r="307" spans="1:24" x14ac:dyDescent="0.3">
      <c r="A307" s="53"/>
      <c r="B307" s="53"/>
      <c r="C307" s="53" t="s">
        <v>254</v>
      </c>
      <c r="D307" s="54">
        <v>140.87</v>
      </c>
      <c r="E307" s="27"/>
      <c r="F307" s="7" t="str">
        <f t="shared" si="8"/>
        <v>Järva maakond</v>
      </c>
      <c r="G307" s="7">
        <f t="shared" si="9"/>
        <v>2018</v>
      </c>
      <c r="H307" s="7">
        <v>30661</v>
      </c>
      <c r="I307" s="7">
        <v>4594.4399999999996</v>
      </c>
      <c r="W307" s="26"/>
      <c r="X307" s="27"/>
    </row>
    <row r="308" spans="1:24" x14ac:dyDescent="0.3">
      <c r="A308" s="53"/>
      <c r="B308" s="53" t="s">
        <v>258</v>
      </c>
      <c r="C308" s="53" t="s">
        <v>237</v>
      </c>
      <c r="D308" s="54">
        <v>12.06</v>
      </c>
      <c r="E308" s="27"/>
      <c r="F308" s="7" t="str">
        <f t="shared" si="8"/>
        <v>Lääne maakond</v>
      </c>
      <c r="G308" s="7">
        <f t="shared" si="9"/>
        <v>2018</v>
      </c>
      <c r="H308" s="7">
        <v>20646</v>
      </c>
      <c r="I308" s="7">
        <v>584.13</v>
      </c>
      <c r="W308" s="26"/>
      <c r="X308" s="27"/>
    </row>
    <row r="309" spans="1:24" x14ac:dyDescent="0.3">
      <c r="A309" s="53"/>
      <c r="B309" s="53"/>
      <c r="C309" s="53" t="s">
        <v>252</v>
      </c>
      <c r="D309" s="54">
        <v>54.73</v>
      </c>
      <c r="E309" s="27"/>
      <c r="F309" s="7" t="str">
        <f t="shared" si="8"/>
        <v>Lääne maakond</v>
      </c>
      <c r="G309" s="7">
        <f t="shared" si="9"/>
        <v>2018</v>
      </c>
      <c r="H309" s="7">
        <v>20646</v>
      </c>
      <c r="I309" s="7">
        <v>2650.88</v>
      </c>
      <c r="W309" s="26"/>
      <c r="X309" s="27"/>
    </row>
    <row r="310" spans="1:24" x14ac:dyDescent="0.3">
      <c r="A310" s="53"/>
      <c r="B310" s="53"/>
      <c r="C310" s="53" t="s">
        <v>254</v>
      </c>
      <c r="D310" s="54">
        <v>105.68</v>
      </c>
      <c r="E310" s="27"/>
      <c r="F310" s="7" t="str">
        <f t="shared" si="8"/>
        <v>Lääne maakond</v>
      </c>
      <c r="G310" s="7">
        <f t="shared" si="9"/>
        <v>2018</v>
      </c>
      <c r="H310" s="7">
        <v>20646</v>
      </c>
      <c r="I310" s="7">
        <v>5118.67</v>
      </c>
      <c r="W310" s="26"/>
      <c r="X310" s="27"/>
    </row>
    <row r="311" spans="1:24" x14ac:dyDescent="0.3">
      <c r="A311" s="53"/>
      <c r="B311" s="53" t="s">
        <v>242</v>
      </c>
      <c r="C311" s="53" t="s">
        <v>237</v>
      </c>
      <c r="D311" s="54">
        <v>35.61</v>
      </c>
      <c r="E311" s="27"/>
      <c r="F311" s="7" t="str">
        <f t="shared" si="8"/>
        <v>Lääne-Viru maakond</v>
      </c>
      <c r="G311" s="7">
        <f t="shared" si="9"/>
        <v>2018</v>
      </c>
      <c r="H311" s="7">
        <v>59791</v>
      </c>
      <c r="I311" s="7">
        <v>595.57000000000005</v>
      </c>
      <c r="W311" s="26"/>
      <c r="X311" s="27"/>
    </row>
    <row r="312" spans="1:24" x14ac:dyDescent="0.3">
      <c r="A312" s="53"/>
      <c r="B312" s="53"/>
      <c r="C312" s="53" t="s">
        <v>252</v>
      </c>
      <c r="D312" s="54">
        <v>279.91000000000003</v>
      </c>
      <c r="E312" s="27"/>
      <c r="F312" s="7" t="str">
        <f t="shared" si="8"/>
        <v>Lääne-Viru maakond</v>
      </c>
      <c r="G312" s="7">
        <f t="shared" si="9"/>
        <v>2018</v>
      </c>
      <c r="H312" s="7">
        <v>59791</v>
      </c>
      <c r="I312" s="7">
        <v>4681.47</v>
      </c>
      <c r="W312" s="26"/>
      <c r="X312" s="27"/>
    </row>
    <row r="313" spans="1:24" x14ac:dyDescent="0.3">
      <c r="A313" s="53"/>
      <c r="B313" s="53"/>
      <c r="C313" s="53" t="s">
        <v>254</v>
      </c>
      <c r="D313" s="54">
        <v>241.76</v>
      </c>
      <c r="E313" s="27"/>
      <c r="F313" s="7" t="str">
        <f t="shared" si="8"/>
        <v>Lääne-Viru maakond</v>
      </c>
      <c r="G313" s="7">
        <f t="shared" si="9"/>
        <v>2018</v>
      </c>
      <c r="H313" s="7">
        <v>59791</v>
      </c>
      <c r="I313" s="7">
        <v>4043.42</v>
      </c>
      <c r="W313" s="26"/>
      <c r="X313" s="27"/>
    </row>
    <row r="314" spans="1:24" x14ac:dyDescent="0.3">
      <c r="A314" s="53"/>
      <c r="B314" s="53" t="s">
        <v>248</v>
      </c>
      <c r="C314" s="53" t="s">
        <v>237</v>
      </c>
      <c r="D314" s="54">
        <v>17.5</v>
      </c>
      <c r="E314" s="27"/>
      <c r="F314" s="7" t="str">
        <f t="shared" si="8"/>
        <v>Põlva maakond</v>
      </c>
      <c r="G314" s="7">
        <f t="shared" si="9"/>
        <v>2018</v>
      </c>
      <c r="H314" s="7">
        <v>25290</v>
      </c>
      <c r="I314" s="7">
        <v>691.97</v>
      </c>
      <c r="W314" s="26"/>
      <c r="X314" s="27"/>
    </row>
    <row r="315" spans="1:24" x14ac:dyDescent="0.3">
      <c r="A315" s="53"/>
      <c r="B315" s="53"/>
      <c r="C315" s="53" t="s">
        <v>252</v>
      </c>
      <c r="D315" s="54">
        <v>40.770000000000003</v>
      </c>
      <c r="E315" s="27"/>
      <c r="F315" s="7" t="str">
        <f t="shared" si="8"/>
        <v>Põlva maakond</v>
      </c>
      <c r="G315" s="7">
        <f t="shared" si="9"/>
        <v>2018</v>
      </c>
      <c r="H315" s="7">
        <v>25290</v>
      </c>
      <c r="I315" s="7">
        <v>1612.1</v>
      </c>
      <c r="W315" s="26"/>
      <c r="X315" s="27"/>
    </row>
    <row r="316" spans="1:24" x14ac:dyDescent="0.3">
      <c r="A316" s="53"/>
      <c r="B316" s="53"/>
      <c r="C316" s="53" t="s">
        <v>254</v>
      </c>
      <c r="D316" s="54">
        <v>100.53</v>
      </c>
      <c r="E316" s="27"/>
      <c r="F316" s="7" t="str">
        <f t="shared" si="8"/>
        <v>Põlva maakond</v>
      </c>
      <c r="G316" s="7">
        <f t="shared" si="9"/>
        <v>2018</v>
      </c>
      <c r="H316" s="7">
        <v>25290</v>
      </c>
      <c r="I316" s="7">
        <v>3975.09</v>
      </c>
      <c r="W316" s="26"/>
      <c r="X316" s="27"/>
    </row>
    <row r="317" spans="1:24" x14ac:dyDescent="0.3">
      <c r="A317" s="53"/>
      <c r="B317" s="53" t="s">
        <v>259</v>
      </c>
      <c r="C317" s="53" t="s">
        <v>237</v>
      </c>
      <c r="D317" s="54">
        <v>58.97</v>
      </c>
      <c r="E317" s="27"/>
      <c r="F317" s="7" t="str">
        <f t="shared" si="8"/>
        <v>Pärnu maakond</v>
      </c>
      <c r="G317" s="7">
        <f t="shared" si="9"/>
        <v>2018</v>
      </c>
      <c r="H317" s="7">
        <v>85756</v>
      </c>
      <c r="I317" s="7">
        <v>687.65</v>
      </c>
      <c r="W317" s="26"/>
      <c r="X317" s="27"/>
    </row>
    <row r="318" spans="1:24" x14ac:dyDescent="0.3">
      <c r="A318" s="53"/>
      <c r="B318" s="53"/>
      <c r="C318" s="53" t="s">
        <v>252</v>
      </c>
      <c r="D318" s="54">
        <v>319.06</v>
      </c>
      <c r="E318" s="27"/>
      <c r="F318" s="7" t="str">
        <f t="shared" si="8"/>
        <v>Pärnu maakond</v>
      </c>
      <c r="G318" s="7">
        <f t="shared" si="9"/>
        <v>2018</v>
      </c>
      <c r="H318" s="7">
        <v>85756</v>
      </c>
      <c r="I318" s="7">
        <v>3720.56</v>
      </c>
      <c r="W318" s="26"/>
      <c r="X318" s="27"/>
    </row>
    <row r="319" spans="1:24" x14ac:dyDescent="0.3">
      <c r="A319" s="53"/>
      <c r="B319" s="53"/>
      <c r="C319" s="53" t="s">
        <v>254</v>
      </c>
      <c r="D319" s="54">
        <v>564.70000000000005</v>
      </c>
      <c r="E319" s="27"/>
      <c r="F319" s="7" t="str">
        <f t="shared" si="8"/>
        <v>Pärnu maakond</v>
      </c>
      <c r="G319" s="7">
        <f t="shared" si="9"/>
        <v>2018</v>
      </c>
      <c r="H319" s="7">
        <v>85756</v>
      </c>
      <c r="I319" s="7">
        <v>6584.96</v>
      </c>
      <c r="W319" s="26"/>
      <c r="X319" s="27"/>
    </row>
    <row r="320" spans="1:24" x14ac:dyDescent="0.3">
      <c r="A320" s="53"/>
      <c r="B320" s="53" t="s">
        <v>256</v>
      </c>
      <c r="C320" s="53" t="s">
        <v>237</v>
      </c>
      <c r="D320" s="54">
        <v>22.96</v>
      </c>
      <c r="E320" s="27"/>
      <c r="F320" s="7" t="str">
        <f t="shared" si="8"/>
        <v>Rapla maakond</v>
      </c>
      <c r="G320" s="7">
        <f t="shared" si="9"/>
        <v>2018</v>
      </c>
      <c r="H320" s="7">
        <v>33299</v>
      </c>
      <c r="I320" s="7">
        <v>689.51</v>
      </c>
      <c r="W320" s="26"/>
      <c r="X320" s="27"/>
    </row>
    <row r="321" spans="1:24" x14ac:dyDescent="0.3">
      <c r="A321" s="53"/>
      <c r="B321" s="53"/>
      <c r="C321" s="53" t="s">
        <v>252</v>
      </c>
      <c r="D321" s="54">
        <v>119.2</v>
      </c>
      <c r="E321" s="27"/>
      <c r="F321" s="7" t="str">
        <f t="shared" si="8"/>
        <v>Rapla maakond</v>
      </c>
      <c r="G321" s="7">
        <f t="shared" si="9"/>
        <v>2018</v>
      </c>
      <c r="H321" s="7">
        <v>33299</v>
      </c>
      <c r="I321" s="7">
        <v>3579.69</v>
      </c>
      <c r="W321" s="26"/>
      <c r="X321" s="27"/>
    </row>
    <row r="322" spans="1:24" x14ac:dyDescent="0.3">
      <c r="A322" s="53"/>
      <c r="B322" s="53"/>
      <c r="C322" s="53" t="s">
        <v>254</v>
      </c>
      <c r="D322" s="54">
        <v>179.44</v>
      </c>
      <c r="E322" s="27"/>
      <c r="F322" s="7" t="str">
        <f t="shared" si="8"/>
        <v>Rapla maakond</v>
      </c>
      <c r="G322" s="7">
        <f t="shared" si="9"/>
        <v>2018</v>
      </c>
      <c r="H322" s="7">
        <v>33299</v>
      </c>
      <c r="I322" s="7">
        <v>5388.75</v>
      </c>
      <c r="W322" s="26"/>
      <c r="X322" s="27"/>
    </row>
    <row r="323" spans="1:24" x14ac:dyDescent="0.3">
      <c r="A323" s="53"/>
      <c r="B323" s="53" t="s">
        <v>260</v>
      </c>
      <c r="C323" s="53" t="s">
        <v>237</v>
      </c>
      <c r="D323" s="54">
        <v>13.97</v>
      </c>
      <c r="E323" s="27"/>
      <c r="F323" s="7" t="str">
        <f t="shared" si="8"/>
        <v>Saare maakond</v>
      </c>
      <c r="G323" s="7">
        <f t="shared" si="9"/>
        <v>2018</v>
      </c>
      <c r="H323" s="7">
        <v>33231</v>
      </c>
      <c r="I323" s="7">
        <v>420.39</v>
      </c>
      <c r="W323" s="26"/>
      <c r="X323" s="27"/>
    </row>
    <row r="324" spans="1:24" x14ac:dyDescent="0.3">
      <c r="A324" s="53"/>
      <c r="B324" s="53"/>
      <c r="C324" s="53" t="s">
        <v>252</v>
      </c>
      <c r="D324" s="54">
        <v>120.07</v>
      </c>
      <c r="E324" s="27"/>
      <c r="F324" s="7" t="str">
        <f t="shared" si="8"/>
        <v>Saare maakond</v>
      </c>
      <c r="G324" s="7">
        <f t="shared" si="9"/>
        <v>2018</v>
      </c>
      <c r="H324" s="7">
        <v>33231</v>
      </c>
      <c r="I324" s="7">
        <v>3613.19</v>
      </c>
      <c r="W324" s="26"/>
      <c r="X324" s="27"/>
    </row>
    <row r="325" spans="1:24" x14ac:dyDescent="0.3">
      <c r="A325" s="53"/>
      <c r="B325" s="53"/>
      <c r="C325" s="53" t="s">
        <v>254</v>
      </c>
      <c r="D325" s="54">
        <v>242.51</v>
      </c>
      <c r="E325" s="27"/>
      <c r="F325" s="7" t="str">
        <f t="shared" si="8"/>
        <v>Saare maakond</v>
      </c>
      <c r="G325" s="7">
        <f t="shared" si="9"/>
        <v>2018</v>
      </c>
      <c r="H325" s="7">
        <v>33231</v>
      </c>
      <c r="I325" s="7">
        <v>7297.7</v>
      </c>
      <c r="W325" s="26"/>
      <c r="X325" s="27"/>
    </row>
    <row r="326" spans="1:24" x14ac:dyDescent="0.3">
      <c r="A326" s="53"/>
      <c r="B326" s="53" t="s">
        <v>261</v>
      </c>
      <c r="C326" s="53" t="s">
        <v>237</v>
      </c>
      <c r="D326" s="54">
        <v>61.21</v>
      </c>
      <c r="E326" s="27"/>
      <c r="F326" s="7" t="str">
        <f t="shared" si="8"/>
        <v>Tartu maakond</v>
      </c>
      <c r="G326" s="7">
        <f t="shared" si="9"/>
        <v>2018</v>
      </c>
      <c r="H326" s="7">
        <v>151122</v>
      </c>
      <c r="I326" s="7">
        <v>405.04</v>
      </c>
      <c r="W326" s="26"/>
      <c r="X326" s="27"/>
    </row>
    <row r="327" spans="1:24" x14ac:dyDescent="0.3">
      <c r="A327" s="53"/>
      <c r="B327" s="53"/>
      <c r="C327" s="53" t="s">
        <v>252</v>
      </c>
      <c r="D327" s="54">
        <v>636.96</v>
      </c>
      <c r="E327" s="27"/>
      <c r="F327" s="7" t="str">
        <f t="shared" si="8"/>
        <v>Tartu maakond</v>
      </c>
      <c r="G327" s="7">
        <f t="shared" si="9"/>
        <v>2018</v>
      </c>
      <c r="H327" s="7">
        <v>151122</v>
      </c>
      <c r="I327" s="7">
        <v>4214.87</v>
      </c>
      <c r="W327" s="26"/>
      <c r="X327" s="27"/>
    </row>
    <row r="328" spans="1:24" x14ac:dyDescent="0.3">
      <c r="A328" s="53"/>
      <c r="B328" s="53"/>
      <c r="C328" s="53" t="s">
        <v>254</v>
      </c>
      <c r="D328" s="54">
        <v>1658.45</v>
      </c>
      <c r="E328" s="27"/>
      <c r="F328" s="7" t="str">
        <f t="shared" si="8"/>
        <v>Tartu maakond</v>
      </c>
      <c r="G328" s="7">
        <f t="shared" si="9"/>
        <v>2018</v>
      </c>
      <c r="H328" s="7">
        <v>151122</v>
      </c>
      <c r="I328" s="7">
        <v>10974.25</v>
      </c>
      <c r="W328" s="26"/>
      <c r="X328" s="27"/>
    </row>
    <row r="329" spans="1:24" x14ac:dyDescent="0.3">
      <c r="A329" s="53"/>
      <c r="B329" s="53" t="s">
        <v>253</v>
      </c>
      <c r="C329" s="53" t="s">
        <v>237</v>
      </c>
      <c r="D329" s="54">
        <v>25.07</v>
      </c>
      <c r="E329" s="27"/>
      <c r="F329" s="7" t="str">
        <f t="shared" si="8"/>
        <v>Valga maakond</v>
      </c>
      <c r="G329" s="7">
        <f t="shared" si="9"/>
        <v>2018</v>
      </c>
      <c r="H329" s="7">
        <v>28669</v>
      </c>
      <c r="I329" s="7">
        <v>874.46</v>
      </c>
      <c r="W329" s="26"/>
      <c r="X329" s="27"/>
    </row>
    <row r="330" spans="1:24" x14ac:dyDescent="0.3">
      <c r="A330" s="53"/>
      <c r="B330" s="53"/>
      <c r="C330" s="53" t="s">
        <v>252</v>
      </c>
      <c r="D330" s="54">
        <v>93.48</v>
      </c>
      <c r="E330" s="27"/>
      <c r="F330" s="7" t="str">
        <f t="shared" si="8"/>
        <v>Valga maakond</v>
      </c>
      <c r="G330" s="7">
        <f t="shared" si="9"/>
        <v>2018</v>
      </c>
      <c r="H330" s="7">
        <v>28669</v>
      </c>
      <c r="I330" s="7">
        <v>3260.66</v>
      </c>
      <c r="W330" s="26"/>
      <c r="X330" s="27"/>
    </row>
    <row r="331" spans="1:24" x14ac:dyDescent="0.3">
      <c r="A331" s="53"/>
      <c r="B331" s="53"/>
      <c r="C331" s="53" t="s">
        <v>254</v>
      </c>
      <c r="D331" s="54">
        <v>110.53</v>
      </c>
      <c r="E331" s="27"/>
      <c r="F331" s="7" t="str">
        <f t="shared" si="8"/>
        <v>Valga maakond</v>
      </c>
      <c r="G331" s="7">
        <f t="shared" si="9"/>
        <v>2018</v>
      </c>
      <c r="H331" s="7">
        <v>28669</v>
      </c>
      <c r="I331" s="7">
        <v>3855.38</v>
      </c>
      <c r="W331" s="26"/>
      <c r="X331" s="27"/>
    </row>
    <row r="332" spans="1:24" x14ac:dyDescent="0.3">
      <c r="A332" s="53"/>
      <c r="B332" s="53" t="s">
        <v>251</v>
      </c>
      <c r="C332" s="53" t="s">
        <v>237</v>
      </c>
      <c r="D332" s="54">
        <v>75.5</v>
      </c>
      <c r="E332" s="27"/>
      <c r="F332" s="7" t="str">
        <f t="shared" si="8"/>
        <v>Viljandi maakond</v>
      </c>
      <c r="G332" s="7">
        <f t="shared" si="9"/>
        <v>2018</v>
      </c>
      <c r="H332" s="7">
        <v>46782</v>
      </c>
      <c r="I332" s="7">
        <v>1613.87</v>
      </c>
      <c r="W332" s="26"/>
      <c r="X332" s="27"/>
    </row>
    <row r="333" spans="1:24" x14ac:dyDescent="0.3">
      <c r="A333" s="53"/>
      <c r="B333" s="53"/>
      <c r="C333" s="53" t="s">
        <v>252</v>
      </c>
      <c r="D333" s="54">
        <v>182.44</v>
      </c>
      <c r="E333" s="27"/>
      <c r="F333" s="7" t="str">
        <f t="shared" si="8"/>
        <v>Viljandi maakond</v>
      </c>
      <c r="G333" s="7">
        <f t="shared" si="9"/>
        <v>2018</v>
      </c>
      <c r="H333" s="7">
        <v>46782</v>
      </c>
      <c r="I333" s="7">
        <v>3899.79</v>
      </c>
      <c r="W333" s="26"/>
      <c r="X333" s="27"/>
    </row>
    <row r="334" spans="1:24" x14ac:dyDescent="0.3">
      <c r="A334" s="53"/>
      <c r="B334" s="53"/>
      <c r="C334" s="53" t="s">
        <v>254</v>
      </c>
      <c r="D334" s="54">
        <v>253.39</v>
      </c>
      <c r="E334" s="27"/>
      <c r="F334" s="7" t="str">
        <f t="shared" si="8"/>
        <v>Viljandi maakond</v>
      </c>
      <c r="G334" s="7">
        <f t="shared" si="9"/>
        <v>2018</v>
      </c>
      <c r="H334" s="7">
        <v>46782</v>
      </c>
      <c r="I334" s="7">
        <v>5416.4</v>
      </c>
      <c r="W334" s="26"/>
      <c r="X334" s="27"/>
    </row>
    <row r="335" spans="1:24" x14ac:dyDescent="0.3">
      <c r="A335" s="53"/>
      <c r="B335" s="53" t="s">
        <v>255</v>
      </c>
      <c r="C335" s="53" t="s">
        <v>237</v>
      </c>
      <c r="D335" s="54">
        <v>28.38</v>
      </c>
      <c r="E335" s="27"/>
      <c r="F335" s="7" t="str">
        <f t="shared" si="8"/>
        <v>Võru maakond</v>
      </c>
      <c r="G335" s="7">
        <f t="shared" si="9"/>
        <v>2018</v>
      </c>
      <c r="H335" s="7">
        <v>36133</v>
      </c>
      <c r="I335" s="7">
        <v>785.43</v>
      </c>
      <c r="W335" s="26"/>
      <c r="X335" s="27"/>
    </row>
    <row r="336" spans="1:24" x14ac:dyDescent="0.3">
      <c r="A336" s="53"/>
      <c r="B336" s="53"/>
      <c r="C336" s="53" t="s">
        <v>252</v>
      </c>
      <c r="D336" s="54">
        <v>115.81</v>
      </c>
      <c r="E336" s="27"/>
      <c r="F336" s="7" t="str">
        <f t="shared" si="8"/>
        <v>Võru maakond</v>
      </c>
      <c r="G336" s="7">
        <f t="shared" si="9"/>
        <v>2018</v>
      </c>
      <c r="H336" s="7">
        <v>36133</v>
      </c>
      <c r="I336" s="7">
        <v>3205.1</v>
      </c>
      <c r="W336" s="26"/>
      <c r="X336" s="27"/>
    </row>
    <row r="337" spans="1:24" x14ac:dyDescent="0.3">
      <c r="A337" s="53"/>
      <c r="B337" s="53"/>
      <c r="C337" s="53" t="s">
        <v>254</v>
      </c>
      <c r="D337" s="54">
        <v>144.62</v>
      </c>
      <c r="E337" s="27"/>
      <c r="F337" s="7" t="str">
        <f t="shared" si="8"/>
        <v>Võru maakond</v>
      </c>
      <c r="G337" s="7">
        <f t="shared" si="9"/>
        <v>2018</v>
      </c>
      <c r="H337" s="7">
        <v>36133</v>
      </c>
      <c r="I337" s="7">
        <v>4002.44</v>
      </c>
      <c r="W337" s="26"/>
      <c r="X337" s="27"/>
    </row>
    <row r="338" spans="1:24" x14ac:dyDescent="0.3">
      <c r="A338" s="53" t="s">
        <v>268</v>
      </c>
      <c r="B338" s="53" t="s">
        <v>250</v>
      </c>
      <c r="C338" s="53" t="s">
        <v>237</v>
      </c>
      <c r="D338" s="54">
        <v>82.15</v>
      </c>
      <c r="E338" s="27"/>
      <c r="F338" s="7" t="str">
        <f t="shared" si="8"/>
        <v>Harju maakond</v>
      </c>
      <c r="G338" s="7">
        <f t="shared" si="9"/>
        <v>2019</v>
      </c>
      <c r="H338" s="7">
        <v>598059</v>
      </c>
      <c r="I338" s="7">
        <v>137.36000000000001</v>
      </c>
      <c r="W338" s="26"/>
      <c r="X338" s="27"/>
    </row>
    <row r="339" spans="1:24" x14ac:dyDescent="0.3">
      <c r="A339" s="53"/>
      <c r="B339" s="53"/>
      <c r="C339" s="53" t="s">
        <v>252</v>
      </c>
      <c r="D339" s="54">
        <v>3113.63</v>
      </c>
      <c r="E339" s="27"/>
      <c r="F339" s="7" t="str">
        <f t="shared" si="8"/>
        <v>Harju maakond</v>
      </c>
      <c r="G339" s="7">
        <f t="shared" si="9"/>
        <v>2019</v>
      </c>
      <c r="H339" s="7">
        <v>598059</v>
      </c>
      <c r="I339" s="7">
        <v>5206.2299999999996</v>
      </c>
      <c r="W339" s="26"/>
      <c r="X339" s="27"/>
    </row>
    <row r="340" spans="1:24" x14ac:dyDescent="0.3">
      <c r="A340" s="53"/>
      <c r="B340" s="53"/>
      <c r="C340" s="53" t="s">
        <v>254</v>
      </c>
      <c r="D340" s="54">
        <v>12710.72</v>
      </c>
      <c r="E340" s="27"/>
      <c r="F340" s="7" t="str">
        <f t="shared" si="8"/>
        <v>Harju maakond</v>
      </c>
      <c r="G340" s="7">
        <f t="shared" si="9"/>
        <v>2019</v>
      </c>
      <c r="H340" s="7">
        <v>598059</v>
      </c>
      <c r="I340" s="7">
        <v>21253.29</v>
      </c>
      <c r="W340" s="26"/>
      <c r="X340" s="27"/>
    </row>
    <row r="341" spans="1:24" x14ac:dyDescent="0.3">
      <c r="A341" s="53"/>
      <c r="B341" s="53" t="s">
        <v>239</v>
      </c>
      <c r="C341" s="53" t="s">
        <v>237</v>
      </c>
      <c r="D341" s="54">
        <v>7.03</v>
      </c>
      <c r="E341" s="27"/>
      <c r="F341" s="7" t="str">
        <f t="shared" si="8"/>
        <v>Hiiu maakond</v>
      </c>
      <c r="G341" s="7">
        <f t="shared" si="9"/>
        <v>2019</v>
      </c>
      <c r="H341" s="7">
        <v>9387</v>
      </c>
      <c r="I341" s="7">
        <v>748.91</v>
      </c>
      <c r="W341" s="26"/>
      <c r="X341" s="27"/>
    </row>
    <row r="342" spans="1:24" x14ac:dyDescent="0.3">
      <c r="A342" s="53"/>
      <c r="B342" s="53"/>
      <c r="C342" s="53" t="s">
        <v>252</v>
      </c>
      <c r="D342" s="54">
        <v>33.4</v>
      </c>
      <c r="E342" s="27"/>
      <c r="F342" s="7" t="str">
        <f t="shared" si="8"/>
        <v>Hiiu maakond</v>
      </c>
      <c r="G342" s="7">
        <f t="shared" si="9"/>
        <v>2019</v>
      </c>
      <c r="H342" s="7">
        <v>9387</v>
      </c>
      <c r="I342" s="7">
        <v>3558.11</v>
      </c>
      <c r="W342" s="26"/>
      <c r="X342" s="27"/>
    </row>
    <row r="343" spans="1:24" x14ac:dyDescent="0.3">
      <c r="A343" s="53"/>
      <c r="B343" s="53"/>
      <c r="C343" s="53" t="s">
        <v>254</v>
      </c>
      <c r="D343" s="54">
        <v>57.25</v>
      </c>
      <c r="E343" s="27"/>
      <c r="F343" s="7" t="str">
        <f t="shared" si="8"/>
        <v>Hiiu maakond</v>
      </c>
      <c r="G343" s="7">
        <f t="shared" si="9"/>
        <v>2019</v>
      </c>
      <c r="H343" s="7">
        <v>9387</v>
      </c>
      <c r="I343" s="7">
        <v>6098.86</v>
      </c>
      <c r="W343" s="26"/>
      <c r="X343" s="27"/>
    </row>
    <row r="344" spans="1:24" x14ac:dyDescent="0.3">
      <c r="A344" s="53"/>
      <c r="B344" s="53" t="s">
        <v>257</v>
      </c>
      <c r="C344" s="53" t="s">
        <v>237</v>
      </c>
      <c r="D344" s="54">
        <v>17.329999999999998</v>
      </c>
      <c r="E344" s="27"/>
      <c r="F344" s="7" t="str">
        <f t="shared" ref="F344:F382" si="10">IF(NOT(ISBLANK(B344)),B344,F343)</f>
        <v>Ida-Viru maakond</v>
      </c>
      <c r="G344" s="7">
        <f t="shared" ref="G344:G382" si="11">_xlfn.NUMBERVALUE(IF(NOT(ISBLANK(A344)),A344,G343))</f>
        <v>2019</v>
      </c>
      <c r="H344" s="7">
        <v>136240</v>
      </c>
      <c r="I344" s="7">
        <v>127.2</v>
      </c>
      <c r="W344" s="26"/>
      <c r="X344" s="27"/>
    </row>
    <row r="345" spans="1:24" x14ac:dyDescent="0.3">
      <c r="A345" s="53"/>
      <c r="B345" s="53"/>
      <c r="C345" s="53" t="s">
        <v>252</v>
      </c>
      <c r="D345" s="54">
        <v>827.64</v>
      </c>
      <c r="E345" s="27"/>
      <c r="F345" s="7" t="str">
        <f t="shared" si="10"/>
        <v>Ida-Viru maakond</v>
      </c>
      <c r="G345" s="7">
        <f t="shared" si="11"/>
        <v>2019</v>
      </c>
      <c r="H345" s="7">
        <v>136240</v>
      </c>
      <c r="I345" s="7">
        <v>6074.87</v>
      </c>
      <c r="W345" s="26"/>
      <c r="X345" s="27"/>
    </row>
    <row r="346" spans="1:24" x14ac:dyDescent="0.3">
      <c r="A346" s="53"/>
      <c r="B346" s="53"/>
      <c r="C346" s="53" t="s">
        <v>254</v>
      </c>
      <c r="D346" s="54">
        <v>578.05999999999995</v>
      </c>
      <c r="E346" s="27"/>
      <c r="F346" s="7" t="str">
        <f t="shared" si="10"/>
        <v>Ida-Viru maakond</v>
      </c>
      <c r="G346" s="7">
        <f t="shared" si="11"/>
        <v>2019</v>
      </c>
      <c r="H346" s="7">
        <v>136240</v>
      </c>
      <c r="I346" s="7">
        <v>4242.95</v>
      </c>
      <c r="W346" s="26"/>
      <c r="X346" s="27"/>
    </row>
    <row r="347" spans="1:24" x14ac:dyDescent="0.3">
      <c r="A347" s="53"/>
      <c r="B347" s="53" t="s">
        <v>240</v>
      </c>
      <c r="C347" s="53" t="s">
        <v>237</v>
      </c>
      <c r="D347" s="54">
        <v>43.72</v>
      </c>
      <c r="E347" s="27"/>
      <c r="F347" s="7" t="str">
        <f t="shared" si="10"/>
        <v>Jõgeva maakond</v>
      </c>
      <c r="G347" s="7">
        <f t="shared" si="11"/>
        <v>2019</v>
      </c>
      <c r="H347" s="7">
        <v>28734</v>
      </c>
      <c r="I347" s="7">
        <v>1521.54</v>
      </c>
      <c r="W347" s="26"/>
      <c r="X347" s="27"/>
    </row>
    <row r="348" spans="1:24" x14ac:dyDescent="0.3">
      <c r="A348" s="53"/>
      <c r="B348" s="53"/>
      <c r="C348" s="53" t="s">
        <v>252</v>
      </c>
      <c r="D348" s="54">
        <v>70.69</v>
      </c>
      <c r="E348" s="27"/>
      <c r="F348" s="7" t="str">
        <f t="shared" si="10"/>
        <v>Jõgeva maakond</v>
      </c>
      <c r="G348" s="7">
        <f t="shared" si="11"/>
        <v>2019</v>
      </c>
      <c r="H348" s="7">
        <v>28734</v>
      </c>
      <c r="I348" s="7">
        <v>2460.15</v>
      </c>
      <c r="W348" s="26"/>
      <c r="X348" s="27"/>
    </row>
    <row r="349" spans="1:24" x14ac:dyDescent="0.3">
      <c r="A349" s="53"/>
      <c r="B349" s="53"/>
      <c r="C349" s="53" t="s">
        <v>254</v>
      </c>
      <c r="D349" s="54">
        <v>124.95</v>
      </c>
      <c r="E349" s="27"/>
      <c r="F349" s="7" t="str">
        <f t="shared" si="10"/>
        <v>Jõgeva maakond</v>
      </c>
      <c r="G349" s="7">
        <f t="shared" si="11"/>
        <v>2019</v>
      </c>
      <c r="H349" s="7">
        <v>28734</v>
      </c>
      <c r="I349" s="7">
        <v>4348.51</v>
      </c>
      <c r="W349" s="26"/>
      <c r="X349" s="27"/>
    </row>
    <row r="350" spans="1:24" x14ac:dyDescent="0.3">
      <c r="A350" s="53"/>
      <c r="B350" s="53" t="s">
        <v>241</v>
      </c>
      <c r="C350" s="53" t="s">
        <v>237</v>
      </c>
      <c r="D350" s="54">
        <v>41.88</v>
      </c>
      <c r="E350" s="27"/>
      <c r="F350" s="7" t="str">
        <f t="shared" si="10"/>
        <v>Järva maakond</v>
      </c>
      <c r="G350" s="7">
        <f t="shared" si="11"/>
        <v>2019</v>
      </c>
      <c r="H350" s="7">
        <v>30286</v>
      </c>
      <c r="I350" s="7">
        <v>1382.82</v>
      </c>
      <c r="W350" s="26"/>
      <c r="X350" s="27"/>
    </row>
    <row r="351" spans="1:24" x14ac:dyDescent="0.3">
      <c r="A351" s="53"/>
      <c r="B351" s="53"/>
      <c r="C351" s="53" t="s">
        <v>252</v>
      </c>
      <c r="D351" s="54">
        <v>130.91999999999999</v>
      </c>
      <c r="E351" s="27"/>
      <c r="F351" s="7" t="str">
        <f t="shared" si="10"/>
        <v>Järva maakond</v>
      </c>
      <c r="G351" s="7">
        <f t="shared" si="11"/>
        <v>2019</v>
      </c>
      <c r="H351" s="7">
        <v>30286</v>
      </c>
      <c r="I351" s="7">
        <v>4322.79</v>
      </c>
      <c r="W351" s="26"/>
      <c r="X351" s="27"/>
    </row>
    <row r="352" spans="1:24" x14ac:dyDescent="0.3">
      <c r="A352" s="53"/>
      <c r="B352" s="53"/>
      <c r="C352" s="53" t="s">
        <v>254</v>
      </c>
      <c r="D352" s="54">
        <v>154.16999999999999</v>
      </c>
      <c r="E352" s="27"/>
      <c r="F352" s="7" t="str">
        <f t="shared" si="10"/>
        <v>Järva maakond</v>
      </c>
      <c r="G352" s="7">
        <f t="shared" si="11"/>
        <v>2019</v>
      </c>
      <c r="H352" s="7">
        <v>30286</v>
      </c>
      <c r="I352" s="7">
        <v>5090.47</v>
      </c>
      <c r="W352" s="26"/>
      <c r="X352" s="27"/>
    </row>
    <row r="353" spans="1:24" x14ac:dyDescent="0.3">
      <c r="A353" s="53"/>
      <c r="B353" s="53" t="s">
        <v>258</v>
      </c>
      <c r="C353" s="53" t="s">
        <v>237</v>
      </c>
      <c r="D353" s="54">
        <v>15.43</v>
      </c>
      <c r="E353" s="27"/>
      <c r="F353" s="7" t="str">
        <f t="shared" si="10"/>
        <v>Lääne maakond</v>
      </c>
      <c r="G353" s="7">
        <f t="shared" si="11"/>
        <v>2019</v>
      </c>
      <c r="H353" s="7">
        <v>20507</v>
      </c>
      <c r="I353" s="7">
        <v>752.43</v>
      </c>
      <c r="W353" s="26"/>
      <c r="X353" s="27"/>
    </row>
    <row r="354" spans="1:24" x14ac:dyDescent="0.3">
      <c r="A354" s="53"/>
      <c r="B354" s="53"/>
      <c r="C354" s="53" t="s">
        <v>252</v>
      </c>
      <c r="D354" s="54">
        <v>55.89</v>
      </c>
      <c r="E354" s="27"/>
      <c r="F354" s="7" t="str">
        <f t="shared" si="10"/>
        <v>Lääne maakond</v>
      </c>
      <c r="G354" s="7">
        <f t="shared" si="11"/>
        <v>2019</v>
      </c>
      <c r="H354" s="7">
        <v>20507</v>
      </c>
      <c r="I354" s="7">
        <v>2725.41</v>
      </c>
      <c r="W354" s="26"/>
      <c r="X354" s="27"/>
    </row>
    <row r="355" spans="1:24" x14ac:dyDescent="0.3">
      <c r="A355" s="53"/>
      <c r="B355" s="53"/>
      <c r="C355" s="53" t="s">
        <v>254</v>
      </c>
      <c r="D355" s="54">
        <v>114.52</v>
      </c>
      <c r="E355" s="27"/>
      <c r="F355" s="7" t="str">
        <f t="shared" si="10"/>
        <v>Lääne maakond</v>
      </c>
      <c r="G355" s="7">
        <f t="shared" si="11"/>
        <v>2019</v>
      </c>
      <c r="H355" s="7">
        <v>20507</v>
      </c>
      <c r="I355" s="7">
        <v>5584.43</v>
      </c>
      <c r="W355" s="26"/>
      <c r="X355" s="27"/>
    </row>
    <row r="356" spans="1:24" x14ac:dyDescent="0.3">
      <c r="A356" s="53"/>
      <c r="B356" s="53" t="s">
        <v>242</v>
      </c>
      <c r="C356" s="53" t="s">
        <v>237</v>
      </c>
      <c r="D356" s="54">
        <v>63.96</v>
      </c>
      <c r="E356" s="27"/>
      <c r="F356" s="7" t="str">
        <f t="shared" si="10"/>
        <v>Lääne-Viru maakond</v>
      </c>
      <c r="G356" s="7">
        <f t="shared" si="11"/>
        <v>2019</v>
      </c>
      <c r="H356" s="7">
        <v>59325</v>
      </c>
      <c r="I356" s="7">
        <v>1078.1300000000001</v>
      </c>
      <c r="W356" s="26"/>
      <c r="X356" s="27"/>
    </row>
    <row r="357" spans="1:24" x14ac:dyDescent="0.3">
      <c r="A357" s="53"/>
      <c r="B357" s="53"/>
      <c r="C357" s="53" t="s">
        <v>252</v>
      </c>
      <c r="D357" s="54">
        <v>289.91000000000003</v>
      </c>
      <c r="E357" s="27"/>
      <c r="F357" s="7" t="str">
        <f t="shared" si="10"/>
        <v>Lääne-Viru maakond</v>
      </c>
      <c r="G357" s="7">
        <f t="shared" si="11"/>
        <v>2019</v>
      </c>
      <c r="H357" s="7">
        <v>59325</v>
      </c>
      <c r="I357" s="7">
        <v>4886.8100000000004</v>
      </c>
      <c r="W357" s="26"/>
      <c r="X357" s="27"/>
    </row>
    <row r="358" spans="1:24" x14ac:dyDescent="0.3">
      <c r="A358" s="53"/>
      <c r="B358" s="53"/>
      <c r="C358" s="53" t="s">
        <v>254</v>
      </c>
      <c r="D358" s="54">
        <v>260.18</v>
      </c>
      <c r="E358" s="27"/>
      <c r="F358" s="7" t="str">
        <f t="shared" si="10"/>
        <v>Lääne-Viru maakond</v>
      </c>
      <c r="G358" s="7">
        <f t="shared" si="11"/>
        <v>2019</v>
      </c>
      <c r="H358" s="7">
        <v>59325</v>
      </c>
      <c r="I358" s="7">
        <v>4385.67</v>
      </c>
      <c r="W358" s="26"/>
      <c r="X358" s="27"/>
    </row>
    <row r="359" spans="1:24" x14ac:dyDescent="0.3">
      <c r="A359" s="53"/>
      <c r="B359" s="53" t="s">
        <v>248</v>
      </c>
      <c r="C359" s="53" t="s">
        <v>237</v>
      </c>
      <c r="D359" s="54">
        <v>25.75</v>
      </c>
      <c r="E359" s="27"/>
      <c r="F359" s="7" t="str">
        <f t="shared" si="10"/>
        <v>Põlva maakond</v>
      </c>
      <c r="G359" s="7">
        <f t="shared" si="11"/>
        <v>2019</v>
      </c>
      <c r="H359" s="7">
        <v>25006</v>
      </c>
      <c r="I359" s="7">
        <v>1029.75</v>
      </c>
      <c r="W359" s="26"/>
      <c r="X359" s="27"/>
    </row>
    <row r="360" spans="1:24" x14ac:dyDescent="0.3">
      <c r="A360" s="53"/>
      <c r="B360" s="53"/>
      <c r="C360" s="53" t="s">
        <v>252</v>
      </c>
      <c r="D360" s="54">
        <v>42.65</v>
      </c>
      <c r="E360" s="27"/>
      <c r="F360" s="7" t="str">
        <f t="shared" si="10"/>
        <v>Põlva maakond</v>
      </c>
      <c r="G360" s="7">
        <f t="shared" si="11"/>
        <v>2019</v>
      </c>
      <c r="H360" s="7">
        <v>25006</v>
      </c>
      <c r="I360" s="7">
        <v>1705.59</v>
      </c>
      <c r="W360" s="26"/>
      <c r="X360" s="27"/>
    </row>
    <row r="361" spans="1:24" x14ac:dyDescent="0.3">
      <c r="A361" s="53"/>
      <c r="B361" s="53"/>
      <c r="C361" s="53" t="s">
        <v>254</v>
      </c>
      <c r="D361" s="54">
        <v>109.23</v>
      </c>
      <c r="E361" s="27"/>
      <c r="F361" s="7" t="str">
        <f t="shared" si="10"/>
        <v>Põlva maakond</v>
      </c>
      <c r="G361" s="7">
        <f t="shared" si="11"/>
        <v>2019</v>
      </c>
      <c r="H361" s="7">
        <v>25006</v>
      </c>
      <c r="I361" s="7">
        <v>4368.1499999999996</v>
      </c>
      <c r="W361" s="26"/>
      <c r="X361" s="27"/>
    </row>
    <row r="362" spans="1:24" x14ac:dyDescent="0.3">
      <c r="A362" s="53"/>
      <c r="B362" s="53" t="s">
        <v>259</v>
      </c>
      <c r="C362" s="53" t="s">
        <v>237</v>
      </c>
      <c r="D362" s="54">
        <v>86.55</v>
      </c>
      <c r="E362" s="27"/>
      <c r="F362" s="7" t="str">
        <f t="shared" si="10"/>
        <v>Pärnu maakond</v>
      </c>
      <c r="G362" s="7">
        <f t="shared" si="11"/>
        <v>2019</v>
      </c>
      <c r="H362" s="7">
        <v>85938</v>
      </c>
      <c r="I362" s="7">
        <v>1007.12</v>
      </c>
      <c r="W362" s="26"/>
      <c r="X362" s="27"/>
    </row>
    <row r="363" spans="1:24" x14ac:dyDescent="0.3">
      <c r="A363" s="53"/>
      <c r="B363" s="53"/>
      <c r="C363" s="53" t="s">
        <v>252</v>
      </c>
      <c r="D363" s="54">
        <v>321.23</v>
      </c>
      <c r="E363" s="27"/>
      <c r="F363" s="7" t="str">
        <f t="shared" si="10"/>
        <v>Pärnu maakond</v>
      </c>
      <c r="G363" s="7">
        <f t="shared" si="11"/>
        <v>2019</v>
      </c>
      <c r="H363" s="7">
        <v>85938</v>
      </c>
      <c r="I363" s="7">
        <v>3737.93</v>
      </c>
      <c r="W363" s="26"/>
      <c r="X363" s="27"/>
    </row>
    <row r="364" spans="1:24" x14ac:dyDescent="0.3">
      <c r="A364" s="53"/>
      <c r="B364" s="53"/>
      <c r="C364" s="53" t="s">
        <v>254</v>
      </c>
      <c r="D364" s="54">
        <v>608.97</v>
      </c>
      <c r="E364" s="27"/>
      <c r="F364" s="7" t="str">
        <f t="shared" si="10"/>
        <v>Pärnu maakond</v>
      </c>
      <c r="G364" s="7">
        <f t="shared" si="11"/>
        <v>2019</v>
      </c>
      <c r="H364" s="7">
        <v>85938</v>
      </c>
      <c r="I364" s="7">
        <v>7086.16</v>
      </c>
      <c r="W364" s="26"/>
      <c r="X364" s="27"/>
    </row>
    <row r="365" spans="1:24" x14ac:dyDescent="0.3">
      <c r="A365" s="53"/>
      <c r="B365" s="53" t="s">
        <v>256</v>
      </c>
      <c r="C365" s="53" t="s">
        <v>237</v>
      </c>
      <c r="D365" s="54">
        <v>35.119999999999997</v>
      </c>
      <c r="E365" s="27"/>
      <c r="F365" s="7" t="str">
        <f t="shared" si="10"/>
        <v>Rapla maakond</v>
      </c>
      <c r="G365" s="7">
        <f t="shared" si="11"/>
        <v>2019</v>
      </c>
      <c r="H365" s="7">
        <v>33311</v>
      </c>
      <c r="I365" s="7">
        <v>1054.31</v>
      </c>
      <c r="W365" s="26"/>
      <c r="X365" s="27"/>
    </row>
    <row r="366" spans="1:24" x14ac:dyDescent="0.3">
      <c r="A366" s="53"/>
      <c r="B366" s="53"/>
      <c r="C366" s="53" t="s">
        <v>252</v>
      </c>
      <c r="D366" s="54">
        <v>124.96</v>
      </c>
      <c r="E366" s="27"/>
      <c r="F366" s="7" t="str">
        <f t="shared" si="10"/>
        <v>Rapla maakond</v>
      </c>
      <c r="G366" s="7">
        <f t="shared" si="11"/>
        <v>2019</v>
      </c>
      <c r="H366" s="7">
        <v>33311</v>
      </c>
      <c r="I366" s="7">
        <v>3751.31</v>
      </c>
      <c r="W366" s="26"/>
      <c r="X366" s="27"/>
    </row>
    <row r="367" spans="1:24" x14ac:dyDescent="0.3">
      <c r="A367" s="53"/>
      <c r="B367" s="53"/>
      <c r="C367" s="53" t="s">
        <v>254</v>
      </c>
      <c r="D367" s="54">
        <v>194.47</v>
      </c>
      <c r="E367" s="27"/>
      <c r="F367" s="7" t="str">
        <f t="shared" si="10"/>
        <v>Rapla maakond</v>
      </c>
      <c r="G367" s="7">
        <f t="shared" si="11"/>
        <v>2019</v>
      </c>
      <c r="H367" s="7">
        <v>33311</v>
      </c>
      <c r="I367" s="7">
        <v>5838.01</v>
      </c>
      <c r="W367" s="26"/>
      <c r="X367" s="27"/>
    </row>
    <row r="368" spans="1:24" x14ac:dyDescent="0.3">
      <c r="A368" s="53"/>
      <c r="B368" s="53" t="s">
        <v>260</v>
      </c>
      <c r="C368" s="53" t="s">
        <v>237</v>
      </c>
      <c r="D368" s="54">
        <v>21.31</v>
      </c>
      <c r="E368" s="27"/>
      <c r="F368" s="7" t="str">
        <f t="shared" si="10"/>
        <v>Saare maakond</v>
      </c>
      <c r="G368" s="7">
        <f t="shared" si="11"/>
        <v>2019</v>
      </c>
      <c r="H368" s="7">
        <v>33108</v>
      </c>
      <c r="I368" s="7">
        <v>643.65</v>
      </c>
      <c r="W368" s="26"/>
      <c r="X368" s="27"/>
    </row>
    <row r="369" spans="1:24" x14ac:dyDescent="0.3">
      <c r="A369" s="53"/>
      <c r="B369" s="53"/>
      <c r="C369" s="53" t="s">
        <v>252</v>
      </c>
      <c r="D369" s="54">
        <v>125.39</v>
      </c>
      <c r="E369" s="27"/>
      <c r="F369" s="7" t="str">
        <f t="shared" si="10"/>
        <v>Saare maakond</v>
      </c>
      <c r="G369" s="7">
        <f t="shared" si="11"/>
        <v>2019</v>
      </c>
      <c r="H369" s="7">
        <v>33108</v>
      </c>
      <c r="I369" s="7">
        <v>3787.3</v>
      </c>
      <c r="W369" s="26"/>
      <c r="X369" s="27"/>
    </row>
    <row r="370" spans="1:24" x14ac:dyDescent="0.3">
      <c r="A370" s="53"/>
      <c r="B370" s="53"/>
      <c r="C370" s="53" t="s">
        <v>254</v>
      </c>
      <c r="D370" s="54">
        <v>259.76</v>
      </c>
      <c r="E370" s="27"/>
      <c r="F370" s="7" t="str">
        <f t="shared" si="10"/>
        <v>Saare maakond</v>
      </c>
      <c r="G370" s="7">
        <f t="shared" si="11"/>
        <v>2019</v>
      </c>
      <c r="H370" s="7">
        <v>33108</v>
      </c>
      <c r="I370" s="7">
        <v>7845.84</v>
      </c>
      <c r="W370" s="26"/>
      <c r="X370" s="27"/>
    </row>
    <row r="371" spans="1:24" x14ac:dyDescent="0.3">
      <c r="A371" s="53"/>
      <c r="B371" s="53" t="s">
        <v>261</v>
      </c>
      <c r="C371" s="53" t="s">
        <v>237</v>
      </c>
      <c r="D371" s="54">
        <v>87.98</v>
      </c>
      <c r="E371" s="27"/>
      <c r="F371" s="7" t="str">
        <f t="shared" si="10"/>
        <v>Tartu maakond</v>
      </c>
      <c r="G371" s="7">
        <f t="shared" si="11"/>
        <v>2019</v>
      </c>
      <c r="H371" s="7">
        <v>152977</v>
      </c>
      <c r="I371" s="7">
        <v>575.12</v>
      </c>
      <c r="W371" s="26"/>
      <c r="X371" s="27"/>
    </row>
    <row r="372" spans="1:24" x14ac:dyDescent="0.3">
      <c r="A372" s="53"/>
      <c r="B372" s="53"/>
      <c r="C372" s="53" t="s">
        <v>252</v>
      </c>
      <c r="D372" s="54">
        <v>649.16</v>
      </c>
      <c r="E372" s="27"/>
      <c r="F372" s="7" t="str">
        <f t="shared" si="10"/>
        <v>Tartu maakond</v>
      </c>
      <c r="G372" s="7">
        <f t="shared" si="11"/>
        <v>2019</v>
      </c>
      <c r="H372" s="7">
        <v>152977</v>
      </c>
      <c r="I372" s="7">
        <v>4243.51</v>
      </c>
      <c r="W372" s="26"/>
      <c r="X372" s="27"/>
    </row>
    <row r="373" spans="1:24" x14ac:dyDescent="0.3">
      <c r="A373" s="53"/>
      <c r="B373" s="53"/>
      <c r="C373" s="53" t="s">
        <v>254</v>
      </c>
      <c r="D373" s="54">
        <v>1840.54</v>
      </c>
      <c r="E373" s="27"/>
      <c r="F373" s="7" t="str">
        <f t="shared" si="10"/>
        <v>Tartu maakond</v>
      </c>
      <c r="G373" s="7">
        <f t="shared" si="11"/>
        <v>2019</v>
      </c>
      <c r="H373" s="7">
        <v>152977</v>
      </c>
      <c r="I373" s="7">
        <v>12031.48</v>
      </c>
      <c r="W373" s="26"/>
      <c r="X373" s="27"/>
    </row>
    <row r="374" spans="1:24" x14ac:dyDescent="0.3">
      <c r="A374" s="53"/>
      <c r="B374" s="53" t="s">
        <v>253</v>
      </c>
      <c r="C374" s="53" t="s">
        <v>237</v>
      </c>
      <c r="D374" s="54">
        <v>33.6</v>
      </c>
      <c r="E374" s="27"/>
      <c r="F374" s="7" t="str">
        <f t="shared" si="10"/>
        <v>Valga maakond</v>
      </c>
      <c r="G374" s="7">
        <f t="shared" si="11"/>
        <v>2019</v>
      </c>
      <c r="H374" s="7">
        <v>28370</v>
      </c>
      <c r="I374" s="7">
        <v>1184.3499999999999</v>
      </c>
      <c r="W374" s="26"/>
      <c r="X374" s="27"/>
    </row>
    <row r="375" spans="1:24" x14ac:dyDescent="0.3">
      <c r="A375" s="53"/>
      <c r="B375" s="53"/>
      <c r="C375" s="53" t="s">
        <v>252</v>
      </c>
      <c r="D375" s="54">
        <v>99.12</v>
      </c>
      <c r="E375" s="27"/>
      <c r="F375" s="7" t="str">
        <f t="shared" si="10"/>
        <v>Valga maakond</v>
      </c>
      <c r="G375" s="7">
        <f t="shared" si="11"/>
        <v>2019</v>
      </c>
      <c r="H375" s="7">
        <v>28370</v>
      </c>
      <c r="I375" s="7">
        <v>3493.83</v>
      </c>
      <c r="W375" s="26"/>
      <c r="X375" s="27"/>
    </row>
    <row r="376" spans="1:24" x14ac:dyDescent="0.3">
      <c r="A376" s="53"/>
      <c r="B376" s="53"/>
      <c r="C376" s="53" t="s">
        <v>254</v>
      </c>
      <c r="D376" s="54">
        <v>118.48</v>
      </c>
      <c r="E376" s="27"/>
      <c r="F376" s="7" t="str">
        <f t="shared" si="10"/>
        <v>Valga maakond</v>
      </c>
      <c r="G376" s="7">
        <f t="shared" si="11"/>
        <v>2019</v>
      </c>
      <c r="H376" s="7">
        <v>28370</v>
      </c>
      <c r="I376" s="7">
        <v>4176.24</v>
      </c>
      <c r="W376" s="26"/>
      <c r="X376" s="27"/>
    </row>
    <row r="377" spans="1:24" x14ac:dyDescent="0.3">
      <c r="A377" s="53"/>
      <c r="B377" s="53" t="s">
        <v>251</v>
      </c>
      <c r="C377" s="53" t="s">
        <v>237</v>
      </c>
      <c r="D377" s="54">
        <v>101.2</v>
      </c>
      <c r="E377" s="27"/>
      <c r="F377" s="7" t="str">
        <f t="shared" si="10"/>
        <v>Viljandi maakond</v>
      </c>
      <c r="G377" s="7">
        <f t="shared" si="11"/>
        <v>2019</v>
      </c>
      <c r="H377" s="7">
        <v>46371</v>
      </c>
      <c r="I377" s="7">
        <v>2182.4</v>
      </c>
      <c r="W377" s="26"/>
      <c r="X377" s="27"/>
    </row>
    <row r="378" spans="1:24" x14ac:dyDescent="0.3">
      <c r="A378" s="53"/>
      <c r="B378" s="53"/>
      <c r="C378" s="53" t="s">
        <v>252</v>
      </c>
      <c r="D378" s="54">
        <v>188.55</v>
      </c>
      <c r="E378" s="27"/>
      <c r="F378" s="7" t="str">
        <f t="shared" si="10"/>
        <v>Viljandi maakond</v>
      </c>
      <c r="G378" s="7">
        <f t="shared" si="11"/>
        <v>2019</v>
      </c>
      <c r="H378" s="7">
        <v>46371</v>
      </c>
      <c r="I378" s="7">
        <v>4066.12</v>
      </c>
    </row>
    <row r="379" spans="1:24" x14ac:dyDescent="0.3">
      <c r="A379" s="53"/>
      <c r="B379" s="53"/>
      <c r="C379" s="53" t="s">
        <v>254</v>
      </c>
      <c r="D379" s="54">
        <v>277.06</v>
      </c>
      <c r="E379" s="27"/>
      <c r="F379" s="7" t="str">
        <f t="shared" si="10"/>
        <v>Viljandi maakond</v>
      </c>
      <c r="G379" s="7">
        <f t="shared" si="11"/>
        <v>2019</v>
      </c>
      <c r="H379" s="7">
        <v>46371</v>
      </c>
      <c r="I379" s="7">
        <v>5974.85</v>
      </c>
    </row>
    <row r="380" spans="1:24" x14ac:dyDescent="0.3">
      <c r="A380" s="53"/>
      <c r="B380" s="53" t="s">
        <v>255</v>
      </c>
      <c r="C380" s="53" t="s">
        <v>237</v>
      </c>
      <c r="D380" s="54">
        <v>37.840000000000003</v>
      </c>
      <c r="E380" s="27"/>
      <c r="F380" s="7" t="str">
        <f t="shared" si="10"/>
        <v>Võru maakond</v>
      </c>
      <c r="G380" s="7">
        <f t="shared" si="11"/>
        <v>2019</v>
      </c>
      <c r="H380" s="7">
        <v>35782</v>
      </c>
      <c r="I380" s="7">
        <v>1057.51</v>
      </c>
    </row>
    <row r="381" spans="1:24" x14ac:dyDescent="0.3">
      <c r="A381" s="53"/>
      <c r="B381" s="53"/>
      <c r="C381" s="53" t="s">
        <v>252</v>
      </c>
      <c r="D381" s="54">
        <v>122.38</v>
      </c>
      <c r="E381" s="27"/>
      <c r="F381" s="7" t="str">
        <f t="shared" si="10"/>
        <v>Võru maakond</v>
      </c>
      <c r="G381" s="7">
        <f t="shared" si="11"/>
        <v>2019</v>
      </c>
      <c r="H381" s="7">
        <v>35782</v>
      </c>
      <c r="I381" s="7">
        <v>3420.16</v>
      </c>
    </row>
    <row r="382" spans="1:24" x14ac:dyDescent="0.3">
      <c r="A382" s="53"/>
      <c r="B382" s="53"/>
      <c r="C382" s="53" t="s">
        <v>254</v>
      </c>
      <c r="D382" s="54">
        <v>155.78</v>
      </c>
      <c r="E382" s="27"/>
      <c r="F382" s="7" t="str">
        <f t="shared" si="10"/>
        <v>Võru maakond</v>
      </c>
      <c r="G382" s="7">
        <f t="shared" si="11"/>
        <v>2019</v>
      </c>
      <c r="H382" s="7">
        <v>35782</v>
      </c>
      <c r="I382" s="7">
        <v>4353.59</v>
      </c>
    </row>
  </sheetData>
  <mergeCells count="4">
    <mergeCell ref="A21:D21"/>
    <mergeCell ref="F21:I21"/>
    <mergeCell ref="D9:G9"/>
    <mergeCell ref="D1:G5"/>
  </mergeCells>
  <dataValidations count="1">
    <dataValidation type="whole" operator="equal" allowBlank="1" showInputMessage="1" showErrorMessage="1" sqref="B7 B9:B14" xr:uid="{209411C1-6C0B-4768-8411-41ED13E6C0F7}">
      <formula1>-1000</formula1>
    </dataValidation>
  </dataValidations>
  <hyperlinks>
    <hyperlink ref="B3" location="Rahvastik!A1" display="Rahvastik!A1" xr:uid="{0C44355E-5CCE-4E91-B47B-92B7EE140A54}"/>
    <hyperlink ref="B6" location="SKP!F21:I382" display="SKP!F21:I382" xr:uid="{A665C2B9-6DB3-4309-9E26-663BD6B9AF45}"/>
    <hyperlink ref="B9" location="SKP!D9:J18" display="SKP!D9:J18" xr:uid="{83959555-7291-4AB6-AD14-8CF2F8976A04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A4EF-B8B7-4EF0-B15C-BCBD5747F788}">
  <dimension ref="C1:T51"/>
  <sheetViews>
    <sheetView tabSelected="1" topLeftCell="H1" zoomScale="55" zoomScaleNormal="50" workbookViewId="0">
      <selection activeCell="T5" sqref="T5"/>
    </sheetView>
  </sheetViews>
  <sheetFormatPr defaultRowHeight="14.4" x14ac:dyDescent="0.3"/>
  <cols>
    <col min="3" max="3" width="32.21875" customWidth="1"/>
    <col min="4" max="4" width="25.44140625" customWidth="1"/>
    <col min="5" max="6" width="15.109375" bestFit="1" customWidth="1"/>
    <col min="7" max="7" width="14.109375" bestFit="1" customWidth="1"/>
    <col min="8" max="8" width="16" bestFit="1" customWidth="1"/>
    <col min="9" max="9" width="15.109375" bestFit="1" customWidth="1"/>
    <col min="10" max="10" width="21.33203125" customWidth="1"/>
    <col min="11" max="11" width="15.109375" bestFit="1" customWidth="1"/>
    <col min="12" max="12" width="27.109375" customWidth="1"/>
    <col min="13" max="13" width="15.109375" bestFit="1" customWidth="1"/>
    <col min="14" max="14" width="15.21875" bestFit="1" customWidth="1"/>
    <col min="15" max="15" width="41.5546875" bestFit="1" customWidth="1"/>
    <col min="16" max="16" width="43.44140625" bestFit="1" customWidth="1"/>
    <col min="17" max="17" width="42.5546875" bestFit="1" customWidth="1"/>
    <col min="18" max="18" width="30.77734375" bestFit="1" customWidth="1"/>
    <col min="19" max="19" width="31.88671875" bestFit="1" customWidth="1"/>
    <col min="20" max="20" width="33.44140625" bestFit="1" customWidth="1"/>
    <col min="21" max="21" width="43.44140625" bestFit="1" customWidth="1"/>
    <col min="22" max="25" width="35.21875" bestFit="1" customWidth="1"/>
    <col min="26" max="26" width="34.109375" bestFit="1" customWidth="1"/>
    <col min="27" max="30" width="35.21875" bestFit="1" customWidth="1"/>
    <col min="31" max="31" width="39.44140625" bestFit="1" customWidth="1"/>
    <col min="32" max="35" width="40.5546875" bestFit="1" customWidth="1"/>
    <col min="36" max="54" width="42.44140625" bestFit="1" customWidth="1"/>
    <col min="55" max="55" width="75" bestFit="1" customWidth="1"/>
    <col min="56" max="59" width="76.109375" bestFit="1" customWidth="1"/>
    <col min="60" max="99" width="35.21875" bestFit="1" customWidth="1"/>
    <col min="100" max="100" width="44.5546875" bestFit="1" customWidth="1"/>
    <col min="101" max="104" width="45.5546875" bestFit="1" customWidth="1"/>
    <col min="105" max="144" width="35.21875" bestFit="1" customWidth="1"/>
    <col min="145" max="145" width="51.21875" bestFit="1" customWidth="1"/>
    <col min="146" max="149" width="52.44140625" bestFit="1" customWidth="1"/>
    <col min="150" max="150" width="39.44140625" bestFit="1" customWidth="1"/>
    <col min="151" max="154" width="40.5546875" bestFit="1" customWidth="1"/>
    <col min="155" max="361" width="16.77734375" bestFit="1" customWidth="1"/>
    <col min="362" max="362" width="11.109375" bestFit="1" customWidth="1"/>
  </cols>
  <sheetData>
    <row r="1" spans="3:20" ht="14.4" customHeight="1" x14ac:dyDescent="0.3">
      <c r="E1" s="117" t="s">
        <v>376</v>
      </c>
      <c r="F1" s="118"/>
      <c r="G1" s="118"/>
      <c r="H1" s="118"/>
      <c r="I1" s="118"/>
      <c r="J1" s="118"/>
      <c r="K1" s="118"/>
      <c r="L1" s="118"/>
      <c r="M1" s="118"/>
      <c r="N1" s="118"/>
      <c r="O1" s="119"/>
    </row>
    <row r="2" spans="3:20" ht="31.8" customHeight="1" x14ac:dyDescent="0.55000000000000004">
      <c r="C2" s="104" t="s">
        <v>350</v>
      </c>
      <c r="D2" s="103" t="s">
        <v>358</v>
      </c>
      <c r="E2" s="120"/>
      <c r="F2" s="121"/>
      <c r="G2" s="121"/>
      <c r="H2" s="121"/>
      <c r="I2" s="121"/>
      <c r="J2" s="121"/>
      <c r="K2" s="121"/>
      <c r="L2" s="121"/>
      <c r="M2" s="121"/>
      <c r="N2" s="121"/>
      <c r="O2" s="122"/>
    </row>
    <row r="3" spans="3:20" ht="35.4" customHeight="1" x14ac:dyDescent="0.55000000000000004">
      <c r="C3" s="105" t="s">
        <v>378</v>
      </c>
      <c r="D3" s="101" t="s">
        <v>380</v>
      </c>
      <c r="E3" s="120"/>
      <c r="F3" s="121"/>
      <c r="G3" s="121"/>
      <c r="H3" s="121"/>
      <c r="I3" s="121"/>
      <c r="J3" s="121"/>
      <c r="K3" s="121"/>
      <c r="L3" s="121"/>
      <c r="M3" s="121"/>
      <c r="N3" s="121"/>
      <c r="O3" s="122"/>
    </row>
    <row r="4" spans="3:20" ht="35.4" customHeight="1" x14ac:dyDescent="0.55000000000000004">
      <c r="C4" s="105" t="s">
        <v>379</v>
      </c>
      <c r="D4" s="101" t="s">
        <v>381</v>
      </c>
      <c r="E4" s="120"/>
      <c r="F4" s="121"/>
      <c r="G4" s="121"/>
      <c r="H4" s="121"/>
      <c r="I4" s="121"/>
      <c r="J4" s="121"/>
      <c r="K4" s="121"/>
      <c r="L4" s="121"/>
      <c r="M4" s="121"/>
      <c r="N4" s="121"/>
      <c r="O4" s="122"/>
    </row>
    <row r="5" spans="3:20" ht="35.4" customHeight="1" x14ac:dyDescent="0.55000000000000004">
      <c r="C5" s="105" t="s">
        <v>377</v>
      </c>
      <c r="D5" s="101" t="s">
        <v>382</v>
      </c>
      <c r="E5" s="120"/>
      <c r="F5" s="121"/>
      <c r="G5" s="121"/>
      <c r="H5" s="121"/>
      <c r="I5" s="121"/>
      <c r="J5" s="121"/>
      <c r="K5" s="121"/>
      <c r="L5" s="121"/>
      <c r="M5" s="121"/>
      <c r="N5" s="121"/>
      <c r="O5" s="122"/>
    </row>
    <row r="6" spans="3:20" x14ac:dyDescent="0.3"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2"/>
    </row>
    <row r="7" spans="3:20" x14ac:dyDescent="0.3">
      <c r="E7" s="120"/>
      <c r="F7" s="121"/>
      <c r="G7" s="121"/>
      <c r="H7" s="121"/>
      <c r="I7" s="121"/>
      <c r="J7" s="121"/>
      <c r="K7" s="121"/>
      <c r="L7" s="121"/>
      <c r="M7" s="121"/>
      <c r="N7" s="121"/>
      <c r="O7" s="122"/>
    </row>
    <row r="8" spans="3:20" ht="15" thickBot="1" x14ac:dyDescent="0.35">
      <c r="E8" s="123"/>
      <c r="F8" s="124"/>
      <c r="G8" s="124"/>
      <c r="H8" s="124"/>
      <c r="I8" s="124"/>
      <c r="J8" s="124"/>
      <c r="K8" s="124"/>
      <c r="L8" s="124"/>
      <c r="M8" s="124"/>
      <c r="N8" s="124"/>
      <c r="O8" s="125"/>
    </row>
    <row r="9" spans="3:20" ht="15" thickBot="1" x14ac:dyDescent="0.35"/>
    <row r="10" spans="3:20" ht="62.4" customHeight="1" x14ac:dyDescent="0.3">
      <c r="C10" s="132" t="s">
        <v>373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4"/>
      <c r="O10" s="126" t="s">
        <v>375</v>
      </c>
      <c r="P10" s="127"/>
      <c r="Q10" s="127"/>
      <c r="R10" s="127"/>
      <c r="S10" s="127"/>
      <c r="T10" s="128"/>
    </row>
    <row r="11" spans="3:20" ht="15" customHeight="1" thickBot="1" x14ac:dyDescent="0.35">
      <c r="C11" s="135"/>
      <c r="D11" s="136"/>
      <c r="E11" s="136"/>
      <c r="F11" s="136"/>
      <c r="G11" s="136"/>
      <c r="H11" s="136"/>
      <c r="I11" s="136"/>
      <c r="J11" s="136"/>
      <c r="K11" s="136"/>
      <c r="L11" s="136"/>
      <c r="M11" s="137"/>
      <c r="O11" s="129"/>
      <c r="P11" s="130"/>
      <c r="Q11" s="130"/>
      <c r="R11" s="130"/>
      <c r="S11" s="130"/>
      <c r="T11" s="131"/>
    </row>
    <row r="12" spans="3:20" ht="28.8" x14ac:dyDescent="0.3">
      <c r="C12" s="28" t="s">
        <v>269</v>
      </c>
      <c r="D12" t="s">
        <v>270</v>
      </c>
      <c r="O12" s="59" t="s">
        <v>271</v>
      </c>
      <c r="P12" t="s">
        <v>348</v>
      </c>
      <c r="Q12" t="s">
        <v>273</v>
      </c>
      <c r="R12" s="28" t="s">
        <v>274</v>
      </c>
      <c r="S12" s="28" t="s">
        <v>275</v>
      </c>
      <c r="T12" s="28" t="s">
        <v>276</v>
      </c>
    </row>
    <row r="13" spans="3:20" x14ac:dyDescent="0.3">
      <c r="D13">
        <v>2014</v>
      </c>
      <c r="G13">
        <v>2015</v>
      </c>
      <c r="J13">
        <v>2016</v>
      </c>
      <c r="M13" t="s">
        <v>277</v>
      </c>
      <c r="O13" s="29" t="s">
        <v>237</v>
      </c>
      <c r="P13" s="55">
        <v>4622.3900000000003</v>
      </c>
      <c r="Q13" s="30">
        <v>1</v>
      </c>
      <c r="S13" s="30"/>
      <c r="T13" s="30"/>
    </row>
    <row r="14" spans="3:20" ht="43.2" x14ac:dyDescent="0.3">
      <c r="C14" t="s">
        <v>271</v>
      </c>
      <c r="D14" s="28" t="s">
        <v>237</v>
      </c>
      <c r="E14" t="s">
        <v>254</v>
      </c>
      <c r="F14" s="28" t="s">
        <v>252</v>
      </c>
      <c r="G14" t="s">
        <v>237</v>
      </c>
      <c r="H14" t="s">
        <v>254</v>
      </c>
      <c r="I14" s="28" t="s">
        <v>252</v>
      </c>
      <c r="J14" s="28" t="s">
        <v>237</v>
      </c>
      <c r="K14" t="s">
        <v>254</v>
      </c>
      <c r="L14" s="28" t="s">
        <v>252</v>
      </c>
      <c r="O14" s="31">
        <v>2012</v>
      </c>
      <c r="P14" s="55">
        <v>594.03000000000009</v>
      </c>
      <c r="Q14" s="30">
        <v>0.12281116587707899</v>
      </c>
      <c r="R14">
        <v>6</v>
      </c>
      <c r="S14" s="30">
        <v>-0.18484111968845368</v>
      </c>
      <c r="T14" s="30">
        <v>0.24126089923341343</v>
      </c>
    </row>
    <row r="15" spans="3:20" x14ac:dyDescent="0.3">
      <c r="C15" s="29" t="s">
        <v>250</v>
      </c>
      <c r="D15">
        <v>137.82</v>
      </c>
      <c r="E15">
        <v>15264.44</v>
      </c>
      <c r="F15" s="28">
        <v>4411.0200000000004</v>
      </c>
      <c r="G15">
        <v>96.51</v>
      </c>
      <c r="H15">
        <v>15793.44</v>
      </c>
      <c r="I15" s="28">
        <v>4432.41</v>
      </c>
      <c r="J15">
        <v>91.49</v>
      </c>
      <c r="K15">
        <v>16482.59</v>
      </c>
      <c r="L15" s="28">
        <v>4801.33</v>
      </c>
      <c r="M15" s="55">
        <v>6834.5611111111111</v>
      </c>
      <c r="O15" s="31">
        <v>2013</v>
      </c>
      <c r="P15" s="55">
        <v>583.98000000000013</v>
      </c>
      <c r="Q15" s="30">
        <v>0.12629276540304549</v>
      </c>
      <c r="R15">
        <v>4</v>
      </c>
      <c r="S15" s="30">
        <v>-0.16173200944581778</v>
      </c>
      <c r="T15" s="30">
        <v>0.27644966507166985</v>
      </c>
    </row>
    <row r="16" spans="3:20" x14ac:dyDescent="0.3">
      <c r="C16" s="29" t="s">
        <v>239</v>
      </c>
      <c r="D16">
        <v>906.97</v>
      </c>
      <c r="E16">
        <v>3143.56</v>
      </c>
      <c r="F16" s="28">
        <v>2472.9299999999998</v>
      </c>
      <c r="G16">
        <v>1014.91</v>
      </c>
      <c r="H16">
        <v>3489.86</v>
      </c>
      <c r="I16" s="28">
        <v>2853.65</v>
      </c>
      <c r="J16">
        <v>882.54</v>
      </c>
      <c r="K16">
        <v>3506.63</v>
      </c>
      <c r="L16" s="28">
        <v>3208.17</v>
      </c>
      <c r="M16" s="55">
        <v>2386.58</v>
      </c>
      <c r="O16" s="31">
        <v>2014</v>
      </c>
      <c r="P16" s="55">
        <v>634.38000000000011</v>
      </c>
      <c r="Q16" s="30">
        <v>0.1378222609528959</v>
      </c>
      <c r="R16">
        <v>2</v>
      </c>
      <c r="S16" s="30">
        <v>-8.5205004626241365E-2</v>
      </c>
      <c r="T16" s="30">
        <v>0.39297906947646871</v>
      </c>
    </row>
    <row r="17" spans="3:20" x14ac:dyDescent="0.3">
      <c r="C17" s="29" t="s">
        <v>257</v>
      </c>
      <c r="D17">
        <v>92.52</v>
      </c>
      <c r="E17">
        <v>3128.52</v>
      </c>
      <c r="F17" s="28">
        <v>5067.2700000000004</v>
      </c>
      <c r="G17">
        <v>93.23</v>
      </c>
      <c r="H17">
        <v>3249.73</v>
      </c>
      <c r="I17" s="28">
        <v>4188.03</v>
      </c>
      <c r="J17">
        <v>72.010000000000005</v>
      </c>
      <c r="K17">
        <v>3279.59</v>
      </c>
      <c r="L17" s="28">
        <v>3936.63</v>
      </c>
      <c r="M17" s="55">
        <v>2567.5033333333336</v>
      </c>
      <c r="O17" s="31">
        <v>2015</v>
      </c>
      <c r="P17" s="55">
        <v>589.66999999999996</v>
      </c>
      <c r="Q17" s="30">
        <v>0.13414810612865752</v>
      </c>
      <c r="R17">
        <v>3</v>
      </c>
      <c r="S17" s="30">
        <v>-0.10959220029552717</v>
      </c>
      <c r="T17" s="30">
        <v>0.35584413399656611</v>
      </c>
    </row>
    <row r="18" spans="3:20" x14ac:dyDescent="0.3">
      <c r="C18" s="29" t="s">
        <v>240</v>
      </c>
      <c r="D18">
        <v>1569.75</v>
      </c>
      <c r="E18">
        <v>2294.4299999999998</v>
      </c>
      <c r="F18" s="28">
        <v>1899.5</v>
      </c>
      <c r="G18">
        <v>1392.95</v>
      </c>
      <c r="H18">
        <v>2624.43</v>
      </c>
      <c r="I18" s="28">
        <v>1993.45</v>
      </c>
      <c r="J18">
        <v>943.83</v>
      </c>
      <c r="K18">
        <v>2503.35</v>
      </c>
      <c r="L18" s="28">
        <v>2223.7800000000002</v>
      </c>
      <c r="M18" s="55">
        <v>1938.3855555555556</v>
      </c>
      <c r="O18" s="31">
        <v>2016</v>
      </c>
      <c r="P18" s="55">
        <v>459.65999999999997</v>
      </c>
      <c r="Q18" s="30">
        <v>9.8940654581905846E-2</v>
      </c>
      <c r="R18">
        <v>8</v>
      </c>
      <c r="S18" s="30">
        <v>-0.34328159308411482</v>
      </c>
      <c r="T18" s="30"/>
    </row>
    <row r="19" spans="3:20" x14ac:dyDescent="0.3">
      <c r="C19" s="29" t="s">
        <v>241</v>
      </c>
      <c r="D19">
        <v>1203.94</v>
      </c>
      <c r="E19">
        <v>3430.4</v>
      </c>
      <c r="F19" s="28">
        <v>2991.29</v>
      </c>
      <c r="G19">
        <v>1110.6300000000001</v>
      </c>
      <c r="H19">
        <v>3467.4</v>
      </c>
      <c r="I19" s="28">
        <v>2977.52</v>
      </c>
      <c r="J19">
        <v>681.23</v>
      </c>
      <c r="K19">
        <v>3558.89</v>
      </c>
      <c r="L19" s="28">
        <v>3500.93</v>
      </c>
      <c r="M19" s="55">
        <v>2546.9144444444446</v>
      </c>
      <c r="O19" s="31">
        <v>2017</v>
      </c>
      <c r="P19" s="55">
        <v>566.4799999999999</v>
      </c>
      <c r="Q19" s="30">
        <v>0.12420773793504777</v>
      </c>
      <c r="R19">
        <v>5</v>
      </c>
      <c r="S19" s="30">
        <v>-0.17557137530553926</v>
      </c>
      <c r="T19" s="30">
        <v>0.25537614906544948</v>
      </c>
    </row>
    <row r="20" spans="3:20" x14ac:dyDescent="0.3">
      <c r="C20" s="29" t="s">
        <v>258</v>
      </c>
      <c r="D20">
        <v>619.99</v>
      </c>
      <c r="E20">
        <v>3890.15</v>
      </c>
      <c r="F20" s="28">
        <v>2176.54</v>
      </c>
      <c r="G20">
        <v>647.28</v>
      </c>
      <c r="H20">
        <v>3852.1</v>
      </c>
      <c r="I20" s="28">
        <v>2081.4299999999998</v>
      </c>
      <c r="J20">
        <v>483.32</v>
      </c>
      <c r="K20">
        <v>3632.22</v>
      </c>
      <c r="L20" s="28">
        <v>2279.09</v>
      </c>
      <c r="M20" s="55">
        <v>2184.6799999999998</v>
      </c>
      <c r="O20" s="31">
        <v>2018</v>
      </c>
      <c r="P20" s="55">
        <v>493.34</v>
      </c>
      <c r="Q20" s="30">
        <v>0.1051181323113928</v>
      </c>
      <c r="R20">
        <v>7</v>
      </c>
      <c r="S20" s="30">
        <v>-0.30227859638462717</v>
      </c>
      <c r="T20" s="30">
        <v>6.2436192236560016E-2</v>
      </c>
    </row>
    <row r="21" spans="3:20" x14ac:dyDescent="0.3">
      <c r="C21" s="29" t="s">
        <v>242</v>
      </c>
      <c r="D21">
        <v>1057.01</v>
      </c>
      <c r="E21">
        <v>3165.16</v>
      </c>
      <c r="F21" s="28">
        <v>3774.9</v>
      </c>
      <c r="G21">
        <v>970.88</v>
      </c>
      <c r="H21">
        <v>3436.71</v>
      </c>
      <c r="I21" s="28">
        <v>3684.01</v>
      </c>
      <c r="J21">
        <v>679.37</v>
      </c>
      <c r="K21">
        <v>3521.95</v>
      </c>
      <c r="L21" s="28">
        <v>3988.94</v>
      </c>
      <c r="M21" s="55">
        <v>2697.6588888888891</v>
      </c>
      <c r="O21" s="31">
        <v>2019</v>
      </c>
      <c r="P21" s="55">
        <v>700.85</v>
      </c>
      <c r="Q21" s="30">
        <v>0.15065917680997559</v>
      </c>
      <c r="R21">
        <v>1</v>
      </c>
      <c r="S21" s="30"/>
      <c r="T21" s="30">
        <v>0.52272266083762076</v>
      </c>
    </row>
    <row r="22" spans="3:20" x14ac:dyDescent="0.3">
      <c r="C22" s="29" t="s">
        <v>248</v>
      </c>
      <c r="D22">
        <v>928.69</v>
      </c>
      <c r="E22">
        <v>2967.69</v>
      </c>
      <c r="F22" s="28">
        <v>1573.75</v>
      </c>
      <c r="G22">
        <v>878.71</v>
      </c>
      <c r="H22">
        <v>3293.61</v>
      </c>
      <c r="I22" s="28">
        <v>1605.44</v>
      </c>
      <c r="J22">
        <v>506.06</v>
      </c>
      <c r="K22">
        <v>3252.18</v>
      </c>
      <c r="L22" s="28">
        <v>1368.63</v>
      </c>
      <c r="M22" s="55">
        <v>1819.4177777777779</v>
      </c>
    </row>
    <row r="23" spans="3:20" x14ac:dyDescent="0.3">
      <c r="C23" s="29" t="s">
        <v>259</v>
      </c>
      <c r="D23">
        <v>797.55</v>
      </c>
      <c r="E23">
        <v>4793.7299999999996</v>
      </c>
      <c r="F23" s="28">
        <v>2895.48</v>
      </c>
      <c r="G23">
        <v>788.96</v>
      </c>
      <c r="H23">
        <v>5217.91</v>
      </c>
      <c r="I23" s="28">
        <v>3253.47</v>
      </c>
      <c r="J23">
        <v>681.35</v>
      </c>
      <c r="K23">
        <v>5566.35</v>
      </c>
      <c r="L23" s="28">
        <v>3486.15</v>
      </c>
      <c r="M23" s="55">
        <v>3053.4388888888893</v>
      </c>
    </row>
    <row r="24" spans="3:20" x14ac:dyDescent="0.3">
      <c r="C24" s="29" t="s">
        <v>256</v>
      </c>
      <c r="D24">
        <v>1114.32</v>
      </c>
      <c r="E24">
        <v>3610.85</v>
      </c>
      <c r="F24" s="28">
        <v>2026.76</v>
      </c>
      <c r="G24">
        <v>1018.7</v>
      </c>
      <c r="H24">
        <v>3849.17</v>
      </c>
      <c r="I24" s="28">
        <v>2317.63</v>
      </c>
      <c r="J24">
        <v>823.47</v>
      </c>
      <c r="K24">
        <v>4026.88</v>
      </c>
      <c r="L24" s="28">
        <v>2403.65</v>
      </c>
      <c r="M24" s="55">
        <v>2354.6033333333335</v>
      </c>
    </row>
    <row r="25" spans="3:20" x14ac:dyDescent="0.3">
      <c r="C25" s="29" t="s">
        <v>260</v>
      </c>
      <c r="D25">
        <v>535.65</v>
      </c>
      <c r="E25">
        <v>5069.59</v>
      </c>
      <c r="F25" s="28">
        <v>3238.13</v>
      </c>
      <c r="G25">
        <v>505.58</v>
      </c>
      <c r="H25">
        <v>5655.4</v>
      </c>
      <c r="I25" s="28">
        <v>3240.08</v>
      </c>
      <c r="J25">
        <v>341.99</v>
      </c>
      <c r="K25">
        <v>7466.32</v>
      </c>
      <c r="L25" s="28">
        <v>3274.69</v>
      </c>
      <c r="M25" s="55">
        <v>3258.6033333333335</v>
      </c>
    </row>
    <row r="26" spans="3:20" x14ac:dyDescent="0.3">
      <c r="C26" s="29" t="s">
        <v>261</v>
      </c>
      <c r="D26">
        <v>502.21</v>
      </c>
      <c r="E26">
        <v>7755.01</v>
      </c>
      <c r="F26" s="28">
        <v>3097.55</v>
      </c>
      <c r="G26">
        <v>494.13</v>
      </c>
      <c r="H26">
        <v>8128.58</v>
      </c>
      <c r="I26" s="28">
        <v>3255.38</v>
      </c>
      <c r="J26">
        <v>429.23</v>
      </c>
      <c r="K26">
        <v>9359.32</v>
      </c>
      <c r="L26" s="28">
        <v>3642.82</v>
      </c>
      <c r="M26" s="55">
        <v>4073.8033333333337</v>
      </c>
    </row>
    <row r="27" spans="3:20" x14ac:dyDescent="0.3">
      <c r="C27" s="29" t="s">
        <v>253</v>
      </c>
      <c r="D27">
        <v>1100.21</v>
      </c>
      <c r="E27">
        <v>2888.06</v>
      </c>
      <c r="F27" s="28">
        <v>2381.0300000000002</v>
      </c>
      <c r="G27">
        <v>1084.02</v>
      </c>
      <c r="H27">
        <v>3109.8</v>
      </c>
      <c r="I27" s="28">
        <v>2426.1999999999998</v>
      </c>
      <c r="J27">
        <v>905.52</v>
      </c>
      <c r="K27">
        <v>4242.5600000000004</v>
      </c>
      <c r="L27" s="28">
        <v>2799.44</v>
      </c>
      <c r="M27" s="55">
        <v>2326.3155555555554</v>
      </c>
    </row>
    <row r="28" spans="3:20" x14ac:dyDescent="0.3">
      <c r="C28" s="29" t="s">
        <v>251</v>
      </c>
      <c r="D28">
        <v>1684.85</v>
      </c>
      <c r="E28">
        <v>3941.15</v>
      </c>
      <c r="F28" s="28">
        <v>3080.5</v>
      </c>
      <c r="G28">
        <v>1593.7</v>
      </c>
      <c r="H28">
        <v>3984.68</v>
      </c>
      <c r="I28" s="28">
        <v>3273.35</v>
      </c>
      <c r="J28">
        <v>1262.83</v>
      </c>
      <c r="K28">
        <v>4078.32</v>
      </c>
      <c r="L28" s="28">
        <v>3272.94</v>
      </c>
      <c r="M28" s="55">
        <v>2908.0355555555552</v>
      </c>
    </row>
    <row r="29" spans="3:20" x14ac:dyDescent="0.3">
      <c r="C29" s="29" t="s">
        <v>255</v>
      </c>
      <c r="D29">
        <v>997.13</v>
      </c>
      <c r="E29">
        <v>3203.79</v>
      </c>
      <c r="F29" s="28">
        <v>2699.69</v>
      </c>
      <c r="G29">
        <v>1205.23</v>
      </c>
      <c r="H29">
        <v>3149.04</v>
      </c>
      <c r="I29" s="28">
        <v>2919.03</v>
      </c>
      <c r="J29">
        <v>726.75</v>
      </c>
      <c r="K29">
        <v>3495.72</v>
      </c>
      <c r="L29" s="28">
        <v>2824.6</v>
      </c>
      <c r="M29" s="55">
        <v>2357.8866666666668</v>
      </c>
    </row>
    <row r="30" spans="3:20" x14ac:dyDescent="0.3">
      <c r="C30" s="29" t="s">
        <v>277</v>
      </c>
      <c r="D30" s="55">
        <v>883.2406666666667</v>
      </c>
      <c r="E30" s="55">
        <v>4569.7686666666668</v>
      </c>
      <c r="F30" s="56">
        <v>2919.0893333333338</v>
      </c>
      <c r="G30" s="55">
        <v>859.69466666666665</v>
      </c>
      <c r="H30" s="55">
        <v>4820.1239999999998</v>
      </c>
      <c r="I30" s="56">
        <v>2966.7386666666662</v>
      </c>
      <c r="J30" s="55">
        <v>634.06600000000014</v>
      </c>
      <c r="K30" s="55">
        <v>5198.1913333333332</v>
      </c>
      <c r="L30" s="56">
        <v>3134.119333333334</v>
      </c>
      <c r="M30" s="55">
        <v>2887.225851851852</v>
      </c>
    </row>
    <row r="31" spans="3:20" ht="0.6" customHeight="1" x14ac:dyDescent="0.3"/>
    <row r="32" spans="3:20" ht="16.2" customHeight="1" x14ac:dyDescent="0.3"/>
    <row r="33" spans="3:5" ht="15" customHeight="1" thickBot="1" x14ac:dyDescent="0.35"/>
    <row r="34" spans="3:5" ht="115.2" customHeight="1" thickBot="1" x14ac:dyDescent="0.35">
      <c r="C34" s="114" t="s">
        <v>374</v>
      </c>
      <c r="D34" s="115"/>
      <c r="E34" s="116"/>
    </row>
    <row r="35" spans="3:5" x14ac:dyDescent="0.3">
      <c r="C35" t="s">
        <v>278</v>
      </c>
      <c r="D35" t="s">
        <v>270</v>
      </c>
    </row>
    <row r="36" spans="3:5" x14ac:dyDescent="0.3">
      <c r="D36" t="s">
        <v>254</v>
      </c>
    </row>
    <row r="37" spans="3:5" x14ac:dyDescent="0.3">
      <c r="C37" t="s">
        <v>271</v>
      </c>
      <c r="D37">
        <v>2013</v>
      </c>
      <c r="E37">
        <v>2018</v>
      </c>
    </row>
    <row r="38" spans="3:5" x14ac:dyDescent="0.3">
      <c r="C38" s="29" t="s">
        <v>279</v>
      </c>
      <c r="D38">
        <v>1</v>
      </c>
    </row>
    <row r="39" spans="3:5" x14ac:dyDescent="0.3">
      <c r="C39" s="29" t="s">
        <v>280</v>
      </c>
      <c r="D39">
        <v>3</v>
      </c>
    </row>
    <row r="40" spans="3:5" x14ac:dyDescent="0.3">
      <c r="C40" s="29" t="s">
        <v>281</v>
      </c>
      <c r="D40">
        <v>4</v>
      </c>
    </row>
    <row r="41" spans="3:5" x14ac:dyDescent="0.3">
      <c r="C41" s="29" t="s">
        <v>282</v>
      </c>
      <c r="D41">
        <v>3</v>
      </c>
      <c r="E41">
        <v>4</v>
      </c>
    </row>
    <row r="42" spans="3:5" x14ac:dyDescent="0.3">
      <c r="C42" s="29" t="s">
        <v>283</v>
      </c>
      <c r="E42">
        <v>2</v>
      </c>
    </row>
    <row r="43" spans="3:5" x14ac:dyDescent="0.3">
      <c r="C43" s="29" t="s">
        <v>284</v>
      </c>
      <c r="D43">
        <v>2</v>
      </c>
      <c r="E43">
        <v>1</v>
      </c>
    </row>
    <row r="44" spans="3:5" x14ac:dyDescent="0.3">
      <c r="C44" s="29" t="s">
        <v>285</v>
      </c>
      <c r="E44">
        <v>3</v>
      </c>
    </row>
    <row r="45" spans="3:5" x14ac:dyDescent="0.3">
      <c r="C45" s="29" t="s">
        <v>286</v>
      </c>
      <c r="E45">
        <v>1</v>
      </c>
    </row>
    <row r="46" spans="3:5" x14ac:dyDescent="0.3">
      <c r="C46" s="29" t="s">
        <v>287</v>
      </c>
      <c r="E46">
        <v>1</v>
      </c>
    </row>
    <row r="47" spans="3:5" x14ac:dyDescent="0.3">
      <c r="C47" s="29" t="s">
        <v>288</v>
      </c>
      <c r="D47">
        <v>1</v>
      </c>
      <c r="E47">
        <v>1</v>
      </c>
    </row>
    <row r="48" spans="3:5" x14ac:dyDescent="0.3">
      <c r="C48" s="29" t="s">
        <v>289</v>
      </c>
      <c r="E48">
        <v>1</v>
      </c>
    </row>
    <row r="49" spans="3:5" x14ac:dyDescent="0.3">
      <c r="C49" s="29" t="s">
        <v>290</v>
      </c>
      <c r="D49">
        <v>1</v>
      </c>
    </row>
    <row r="50" spans="3:5" x14ac:dyDescent="0.3">
      <c r="C50" s="29" t="s">
        <v>291</v>
      </c>
      <c r="E50">
        <v>1</v>
      </c>
    </row>
    <row r="51" spans="3:5" x14ac:dyDescent="0.3">
      <c r="C51" s="29" t="s">
        <v>277</v>
      </c>
      <c r="D51">
        <v>15</v>
      </c>
      <c r="E51">
        <v>15</v>
      </c>
    </row>
  </sheetData>
  <mergeCells count="4">
    <mergeCell ref="C34:E34"/>
    <mergeCell ref="E1:O8"/>
    <mergeCell ref="O10:T11"/>
    <mergeCell ref="C10:M11"/>
  </mergeCells>
  <hyperlinks>
    <hyperlink ref="D2" location="SKP_andmed" display="SKP_andmed" xr:uid="{898ECC58-9542-4CBD-8EE6-21AB4357FC12}"/>
    <hyperlink ref="D3" location="Tabel_A" display="Tabel_A" xr:uid="{2E3A3256-02E3-4833-A2F2-B2CD97DD3DC6}"/>
    <hyperlink ref="D4" location="Tabel_B" display="Tabel_B" xr:uid="{93376FCA-5875-489E-850D-FB953049075A}"/>
    <hyperlink ref="D5" location="Tabel_C" display="Tabel_C" xr:uid="{6FC8BB33-F9E5-4A9F-9065-3CE5FA2349B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2DAF-0EC9-4D04-95BE-7D79C32D232D}">
  <dimension ref="A1:H78"/>
  <sheetViews>
    <sheetView zoomScale="64" workbookViewId="0">
      <selection activeCell="K2" sqref="K2"/>
    </sheetView>
  </sheetViews>
  <sheetFormatPr defaultRowHeight="14.4" outlineLevelRow="2" x14ac:dyDescent="0.3"/>
  <cols>
    <col min="1" max="1" width="19" customWidth="1"/>
    <col min="3" max="3" width="18" customWidth="1"/>
    <col min="4" max="4" width="36.44140625" customWidth="1"/>
    <col min="5" max="5" width="18.21875" customWidth="1"/>
    <col min="7" max="7" width="24.109375" customWidth="1"/>
    <col min="8" max="8" width="25.88671875" customWidth="1"/>
  </cols>
  <sheetData>
    <row r="1" spans="1:8" ht="14.4" customHeight="1" x14ac:dyDescent="0.3">
      <c r="C1" s="168" t="s">
        <v>398</v>
      </c>
      <c r="D1" s="169"/>
      <c r="E1" s="169"/>
      <c r="F1" s="169"/>
      <c r="G1" s="169"/>
      <c r="H1" s="170"/>
    </row>
    <row r="2" spans="1:8" ht="46.8" customHeight="1" x14ac:dyDescent="0.4">
      <c r="A2" s="106" t="s">
        <v>350</v>
      </c>
      <c r="C2" s="171"/>
      <c r="D2" s="172"/>
      <c r="E2" s="172"/>
      <c r="F2" s="172"/>
      <c r="G2" s="172"/>
      <c r="H2" s="173"/>
    </row>
    <row r="3" spans="1:8" ht="46.8" customHeight="1" x14ac:dyDescent="0.4">
      <c r="A3" s="107" t="s">
        <v>358</v>
      </c>
      <c r="C3" s="171"/>
      <c r="D3" s="172"/>
      <c r="E3" s="172"/>
      <c r="F3" s="172"/>
      <c r="G3" s="172"/>
      <c r="H3" s="173"/>
    </row>
    <row r="4" spans="1:8" ht="15" customHeight="1" thickBot="1" x14ac:dyDescent="0.35">
      <c r="C4" s="174"/>
      <c r="D4" s="175"/>
      <c r="E4" s="175"/>
      <c r="F4" s="175"/>
      <c r="G4" s="175"/>
      <c r="H4" s="176"/>
    </row>
    <row r="7" spans="1:8" x14ac:dyDescent="0.3">
      <c r="A7" s="23"/>
    </row>
    <row r="8" spans="1:8" x14ac:dyDescent="0.3">
      <c r="A8" s="23"/>
    </row>
    <row r="9" spans="1:8" x14ac:dyDescent="0.3">
      <c r="A9" s="23"/>
    </row>
    <row r="11" spans="1:8" x14ac:dyDescent="0.3">
      <c r="B11" s="24"/>
    </row>
    <row r="12" spans="1:8" x14ac:dyDescent="0.3">
      <c r="B12" s="24"/>
      <c r="C12" s="179" t="s">
        <v>367</v>
      </c>
      <c r="D12" s="179"/>
      <c r="E12" s="179"/>
      <c r="H12" s="52" t="s">
        <v>292</v>
      </c>
    </row>
    <row r="13" spans="1:8" x14ac:dyDescent="0.3">
      <c r="C13" s="52" t="s">
        <v>232</v>
      </c>
      <c r="D13" s="52" t="s">
        <v>231</v>
      </c>
      <c r="E13" s="52" t="s">
        <v>231</v>
      </c>
      <c r="H13" s="7" t="s">
        <v>359</v>
      </c>
    </row>
    <row r="14" spans="1:8" x14ac:dyDescent="0.3">
      <c r="C14" s="53" t="s">
        <v>252</v>
      </c>
      <c r="D14" s="7" t="s">
        <v>293</v>
      </c>
      <c r="E14" s="7" t="s">
        <v>235</v>
      </c>
      <c r="H14" s="7" t="s">
        <v>360</v>
      </c>
    </row>
    <row r="15" spans="1:8" x14ac:dyDescent="0.3">
      <c r="H15" s="7" t="s">
        <v>361</v>
      </c>
    </row>
    <row r="16" spans="1:8" ht="15" thickBot="1" x14ac:dyDescent="0.35"/>
    <row r="17" spans="3:8" x14ac:dyDescent="0.3">
      <c r="C17" s="73" t="s">
        <v>232</v>
      </c>
      <c r="D17" s="74" t="s">
        <v>245</v>
      </c>
      <c r="E17" s="74" t="s">
        <v>246</v>
      </c>
      <c r="F17" s="74" t="s">
        <v>231</v>
      </c>
      <c r="G17" s="74" t="s">
        <v>247</v>
      </c>
      <c r="H17" s="75" t="s">
        <v>233</v>
      </c>
    </row>
    <row r="18" spans="3:8" outlineLevel="2" x14ac:dyDescent="0.3">
      <c r="C18" s="76" t="s">
        <v>252</v>
      </c>
      <c r="D18" s="32">
        <v>2286.81</v>
      </c>
      <c r="E18" s="33" t="s">
        <v>250</v>
      </c>
      <c r="F18" s="33">
        <v>2012</v>
      </c>
      <c r="G18" s="33">
        <v>566741</v>
      </c>
      <c r="H18" s="77">
        <v>4035.02</v>
      </c>
    </row>
    <row r="19" spans="3:8" outlineLevel="2" x14ac:dyDescent="0.3">
      <c r="C19" s="78" t="s">
        <v>252</v>
      </c>
      <c r="D19" s="34">
        <v>2371.85</v>
      </c>
      <c r="E19" s="35" t="s">
        <v>250</v>
      </c>
      <c r="F19" s="35">
        <v>2013</v>
      </c>
      <c r="G19" s="35">
        <v>567967</v>
      </c>
      <c r="H19" s="79">
        <v>4176.03</v>
      </c>
    </row>
    <row r="20" spans="3:8" ht="15" outlineLevel="2" thickBot="1" x14ac:dyDescent="0.35">
      <c r="C20" s="76" t="s">
        <v>252</v>
      </c>
      <c r="D20" s="32">
        <v>2523.56</v>
      </c>
      <c r="E20" s="33" t="s">
        <v>250</v>
      </c>
      <c r="F20" s="33">
        <v>2014</v>
      </c>
      <c r="G20" s="33">
        <v>572103</v>
      </c>
      <c r="H20" s="77">
        <v>4411.0200000000004</v>
      </c>
    </row>
    <row r="21" spans="3:8" ht="15" outlineLevel="1" thickBot="1" x14ac:dyDescent="0.35">
      <c r="C21" s="177" t="s">
        <v>383</v>
      </c>
      <c r="D21" s="178"/>
      <c r="E21" s="178"/>
      <c r="F21" s="178"/>
      <c r="G21" s="178"/>
      <c r="H21" s="89">
        <f>SUBTOTAL(1,H18:H20)</f>
        <v>4207.3566666666666</v>
      </c>
    </row>
    <row r="22" spans="3:8" outlineLevel="2" x14ac:dyDescent="0.3">
      <c r="C22" s="80" t="s">
        <v>252</v>
      </c>
      <c r="D22" s="27">
        <v>21.15</v>
      </c>
      <c r="E22" t="s">
        <v>239</v>
      </c>
      <c r="F22">
        <v>2012</v>
      </c>
      <c r="G22">
        <v>8620</v>
      </c>
      <c r="H22" s="81">
        <v>2453.6</v>
      </c>
    </row>
    <row r="23" spans="3:8" outlineLevel="2" x14ac:dyDescent="0.3">
      <c r="C23" s="76" t="s">
        <v>252</v>
      </c>
      <c r="D23" s="32">
        <v>21.33</v>
      </c>
      <c r="E23" s="33" t="s">
        <v>239</v>
      </c>
      <c r="F23" s="33">
        <v>2013</v>
      </c>
      <c r="G23" s="33">
        <v>8638</v>
      </c>
      <c r="H23" s="77">
        <v>2469.3200000000002</v>
      </c>
    </row>
    <row r="24" spans="3:8" ht="15" outlineLevel="2" thickBot="1" x14ac:dyDescent="0.35">
      <c r="C24" s="78" t="s">
        <v>252</v>
      </c>
      <c r="D24" s="34">
        <v>21.24</v>
      </c>
      <c r="E24" s="35" t="s">
        <v>239</v>
      </c>
      <c r="F24" s="35">
        <v>2014</v>
      </c>
      <c r="G24" s="35">
        <v>8589</v>
      </c>
      <c r="H24" s="79">
        <v>2472.9299999999998</v>
      </c>
    </row>
    <row r="25" spans="3:8" ht="15" outlineLevel="1" thickBot="1" x14ac:dyDescent="0.35">
      <c r="C25" s="180" t="s">
        <v>384</v>
      </c>
      <c r="D25" s="181"/>
      <c r="E25" s="181"/>
      <c r="F25" s="181"/>
      <c r="G25" s="181"/>
      <c r="H25" s="90">
        <f>SUBTOTAL(1,H22:H24)</f>
        <v>2465.2833333333333</v>
      </c>
    </row>
    <row r="26" spans="3:8" outlineLevel="2" x14ac:dyDescent="0.3">
      <c r="C26" s="82" t="s">
        <v>252</v>
      </c>
      <c r="D26" s="71">
        <v>650.86</v>
      </c>
      <c r="E26" s="72" t="s">
        <v>257</v>
      </c>
      <c r="F26" s="72">
        <v>2012</v>
      </c>
      <c r="G26" s="72">
        <v>153716</v>
      </c>
      <c r="H26" s="83">
        <v>4234.17</v>
      </c>
    </row>
    <row r="27" spans="3:8" outlineLevel="2" x14ac:dyDescent="0.3">
      <c r="C27" s="78" t="s">
        <v>252</v>
      </c>
      <c r="D27" s="34">
        <v>801.27</v>
      </c>
      <c r="E27" s="35" t="s">
        <v>257</v>
      </c>
      <c r="F27" s="35">
        <v>2013</v>
      </c>
      <c r="G27" s="35">
        <v>151909</v>
      </c>
      <c r="H27" s="79">
        <v>5274.67</v>
      </c>
    </row>
    <row r="28" spans="3:8" ht="15" outlineLevel="2" thickBot="1" x14ac:dyDescent="0.35">
      <c r="C28" s="76" t="s">
        <v>252</v>
      </c>
      <c r="D28" s="32">
        <v>757.47</v>
      </c>
      <c r="E28" s="33" t="s">
        <v>257</v>
      </c>
      <c r="F28" s="33">
        <v>2014</v>
      </c>
      <c r="G28" s="33">
        <v>149483</v>
      </c>
      <c r="H28" s="77">
        <v>5067.2700000000004</v>
      </c>
    </row>
    <row r="29" spans="3:8" ht="15" outlineLevel="1" thickBot="1" x14ac:dyDescent="0.35">
      <c r="C29" s="177" t="s">
        <v>385</v>
      </c>
      <c r="D29" s="178"/>
      <c r="E29" s="178"/>
      <c r="F29" s="178"/>
      <c r="G29" s="178"/>
      <c r="H29" s="89">
        <f>SUBTOTAL(1,H26:H28)</f>
        <v>4858.7033333333338</v>
      </c>
    </row>
    <row r="30" spans="3:8" outlineLevel="2" x14ac:dyDescent="0.3">
      <c r="C30" s="80" t="s">
        <v>252</v>
      </c>
      <c r="D30" s="27">
        <v>52.5</v>
      </c>
      <c r="E30" t="s">
        <v>240</v>
      </c>
      <c r="F30">
        <v>2012</v>
      </c>
      <c r="G30">
        <v>31967</v>
      </c>
      <c r="H30" s="81">
        <v>1642.32</v>
      </c>
    </row>
    <row r="31" spans="3:8" outlineLevel="2" x14ac:dyDescent="0.3">
      <c r="C31" s="76" t="s">
        <v>252</v>
      </c>
      <c r="D31" s="32">
        <v>62.58</v>
      </c>
      <c r="E31" s="33" t="s">
        <v>240</v>
      </c>
      <c r="F31" s="33">
        <v>2013</v>
      </c>
      <c r="G31" s="33">
        <v>31587</v>
      </c>
      <c r="H31" s="77">
        <v>1981.19</v>
      </c>
    </row>
    <row r="32" spans="3:8" ht="15" outlineLevel="2" thickBot="1" x14ac:dyDescent="0.35">
      <c r="C32" s="78" t="s">
        <v>252</v>
      </c>
      <c r="D32" s="34">
        <v>59.16</v>
      </c>
      <c r="E32" s="35" t="s">
        <v>240</v>
      </c>
      <c r="F32" s="35">
        <v>2014</v>
      </c>
      <c r="G32" s="35">
        <v>31145</v>
      </c>
      <c r="H32" s="79">
        <v>1899.5</v>
      </c>
    </row>
    <row r="33" spans="3:8" ht="15" outlineLevel="1" thickBot="1" x14ac:dyDescent="0.35">
      <c r="C33" s="180" t="s">
        <v>386</v>
      </c>
      <c r="D33" s="181"/>
      <c r="E33" s="181"/>
      <c r="F33" s="181"/>
      <c r="G33" s="181"/>
      <c r="H33" s="90">
        <f>SUBTOTAL(1,H30:H32)</f>
        <v>1841.0033333333333</v>
      </c>
    </row>
    <row r="34" spans="3:8" outlineLevel="2" x14ac:dyDescent="0.3">
      <c r="C34" s="82" t="s">
        <v>252</v>
      </c>
      <c r="D34" s="71">
        <v>99.23</v>
      </c>
      <c r="E34" s="72" t="s">
        <v>241</v>
      </c>
      <c r="F34" s="72">
        <v>2012</v>
      </c>
      <c r="G34" s="72">
        <v>31204</v>
      </c>
      <c r="H34" s="83">
        <v>3180.04</v>
      </c>
    </row>
    <row r="35" spans="3:8" outlineLevel="2" x14ac:dyDescent="0.3">
      <c r="C35" s="78" t="s">
        <v>252</v>
      </c>
      <c r="D35" s="34">
        <v>92.82</v>
      </c>
      <c r="E35" s="35" t="s">
        <v>241</v>
      </c>
      <c r="F35" s="35">
        <v>2013</v>
      </c>
      <c r="G35" s="35">
        <v>30913</v>
      </c>
      <c r="H35" s="79">
        <v>3002.62</v>
      </c>
    </row>
    <row r="36" spans="3:8" ht="15" outlineLevel="2" thickBot="1" x14ac:dyDescent="0.35">
      <c r="C36" s="76" t="s">
        <v>252</v>
      </c>
      <c r="D36" s="32">
        <v>91.01</v>
      </c>
      <c r="E36" s="33" t="s">
        <v>241</v>
      </c>
      <c r="F36" s="33">
        <v>2014</v>
      </c>
      <c r="G36" s="33">
        <v>30425</v>
      </c>
      <c r="H36" s="77">
        <v>2991.29</v>
      </c>
    </row>
    <row r="37" spans="3:8" ht="15" outlineLevel="1" thickBot="1" x14ac:dyDescent="0.35">
      <c r="C37" s="177" t="s">
        <v>387</v>
      </c>
      <c r="D37" s="178"/>
      <c r="E37" s="178"/>
      <c r="F37" s="178"/>
      <c r="G37" s="178"/>
      <c r="H37" s="89">
        <f>SUBTOTAL(1,H34:H36)</f>
        <v>3057.9833333333336</v>
      </c>
    </row>
    <row r="38" spans="3:8" outlineLevel="2" x14ac:dyDescent="0.3">
      <c r="C38" s="80" t="s">
        <v>252</v>
      </c>
      <c r="D38" s="27">
        <v>61.22</v>
      </c>
      <c r="E38" t="s">
        <v>258</v>
      </c>
      <c r="F38">
        <v>2012</v>
      </c>
      <c r="G38">
        <v>24734</v>
      </c>
      <c r="H38" s="81">
        <v>2475.14</v>
      </c>
    </row>
    <row r="39" spans="3:8" outlineLevel="2" x14ac:dyDescent="0.3">
      <c r="C39" s="76" t="s">
        <v>252</v>
      </c>
      <c r="D39" s="32">
        <v>59.21</v>
      </c>
      <c r="E39" s="33" t="s">
        <v>258</v>
      </c>
      <c r="F39" s="33">
        <v>2013</v>
      </c>
      <c r="G39" s="33">
        <v>24622</v>
      </c>
      <c r="H39" s="77">
        <v>2404.7600000000002</v>
      </c>
    </row>
    <row r="40" spans="3:8" ht="15" outlineLevel="2" thickBot="1" x14ac:dyDescent="0.35">
      <c r="C40" s="78" t="s">
        <v>252</v>
      </c>
      <c r="D40" s="34">
        <v>52.94</v>
      </c>
      <c r="E40" s="35" t="s">
        <v>258</v>
      </c>
      <c r="F40" s="35">
        <v>2014</v>
      </c>
      <c r="G40" s="35">
        <v>24323</v>
      </c>
      <c r="H40" s="79">
        <v>2176.54</v>
      </c>
    </row>
    <row r="41" spans="3:8" ht="15" outlineLevel="1" thickBot="1" x14ac:dyDescent="0.35">
      <c r="C41" s="180" t="s">
        <v>388</v>
      </c>
      <c r="D41" s="181"/>
      <c r="E41" s="181"/>
      <c r="F41" s="181"/>
      <c r="G41" s="181"/>
      <c r="H41" s="90">
        <f>SUBTOTAL(1,H38:H40)</f>
        <v>2352.1466666666665</v>
      </c>
    </row>
    <row r="42" spans="3:8" outlineLevel="2" x14ac:dyDescent="0.3">
      <c r="C42" s="82" t="s">
        <v>252</v>
      </c>
      <c r="D42" s="71">
        <v>210.6</v>
      </c>
      <c r="E42" s="72" t="s">
        <v>242</v>
      </c>
      <c r="F42" s="72">
        <v>2012</v>
      </c>
      <c r="G42" s="72">
        <v>61154</v>
      </c>
      <c r="H42" s="83">
        <v>3443.76</v>
      </c>
    </row>
    <row r="43" spans="3:8" outlineLevel="2" x14ac:dyDescent="0.3">
      <c r="C43" s="78" t="s">
        <v>252</v>
      </c>
      <c r="D43" s="34">
        <v>202.38</v>
      </c>
      <c r="E43" s="35" t="s">
        <v>242</v>
      </c>
      <c r="F43" s="35">
        <v>2013</v>
      </c>
      <c r="G43" s="35">
        <v>60518</v>
      </c>
      <c r="H43" s="79">
        <v>3344.13</v>
      </c>
    </row>
    <row r="44" spans="3:8" ht="15" outlineLevel="2" thickBot="1" x14ac:dyDescent="0.35">
      <c r="C44" s="76" t="s">
        <v>252</v>
      </c>
      <c r="D44" s="32">
        <v>224.92</v>
      </c>
      <c r="E44" s="33" t="s">
        <v>242</v>
      </c>
      <c r="F44" s="33">
        <v>2014</v>
      </c>
      <c r="G44" s="33">
        <v>59583</v>
      </c>
      <c r="H44" s="77">
        <v>3774.9</v>
      </c>
    </row>
    <row r="45" spans="3:8" ht="15" outlineLevel="1" thickBot="1" x14ac:dyDescent="0.35">
      <c r="C45" s="177" t="s">
        <v>389</v>
      </c>
      <c r="D45" s="178"/>
      <c r="E45" s="178"/>
      <c r="F45" s="178"/>
      <c r="G45" s="178"/>
      <c r="H45" s="91">
        <f>SUBTOTAL(1,H42:H44)</f>
        <v>3520.9300000000003</v>
      </c>
    </row>
    <row r="46" spans="3:8" outlineLevel="2" x14ac:dyDescent="0.3">
      <c r="C46" s="80" t="s">
        <v>252</v>
      </c>
      <c r="D46" s="27">
        <v>48.15</v>
      </c>
      <c r="E46" t="s">
        <v>248</v>
      </c>
      <c r="F46">
        <v>2012</v>
      </c>
      <c r="G46">
        <v>28026</v>
      </c>
      <c r="H46" s="81">
        <v>1718.05</v>
      </c>
    </row>
    <row r="47" spans="3:8" outlineLevel="2" x14ac:dyDescent="0.3">
      <c r="C47" s="76" t="s">
        <v>252</v>
      </c>
      <c r="D47" s="32">
        <v>46.62</v>
      </c>
      <c r="E47" s="33" t="s">
        <v>248</v>
      </c>
      <c r="F47" s="33">
        <v>2013</v>
      </c>
      <c r="G47" s="33">
        <v>27816</v>
      </c>
      <c r="H47" s="77">
        <v>1676.01</v>
      </c>
    </row>
    <row r="48" spans="3:8" ht="15" outlineLevel="2" thickBot="1" x14ac:dyDescent="0.35">
      <c r="C48" s="78" t="s">
        <v>252</v>
      </c>
      <c r="D48" s="34">
        <v>43.5</v>
      </c>
      <c r="E48" s="35" t="s">
        <v>248</v>
      </c>
      <c r="F48" s="35">
        <v>2014</v>
      </c>
      <c r="G48" s="35">
        <v>27641</v>
      </c>
      <c r="H48" s="79">
        <v>1573.75</v>
      </c>
    </row>
    <row r="49" spans="3:8" ht="15" outlineLevel="1" thickBot="1" x14ac:dyDescent="0.35">
      <c r="C49" s="180" t="s">
        <v>390</v>
      </c>
      <c r="D49" s="181"/>
      <c r="E49" s="181"/>
      <c r="F49" s="181"/>
      <c r="G49" s="181"/>
      <c r="H49" s="90">
        <f>SUBTOTAL(1,H46:H48)</f>
        <v>1655.9366666666665</v>
      </c>
    </row>
    <row r="50" spans="3:8" outlineLevel="2" x14ac:dyDescent="0.3">
      <c r="C50" s="82" t="s">
        <v>252</v>
      </c>
      <c r="D50" s="71">
        <v>231.04</v>
      </c>
      <c r="E50" s="72" t="s">
        <v>259</v>
      </c>
      <c r="F50" s="72">
        <v>2012</v>
      </c>
      <c r="G50" s="72">
        <v>84388</v>
      </c>
      <c r="H50" s="83">
        <v>2737.83</v>
      </c>
    </row>
    <row r="51" spans="3:8" outlineLevel="2" x14ac:dyDescent="0.3">
      <c r="C51" s="78" t="s">
        <v>252</v>
      </c>
      <c r="D51" s="34">
        <v>242.13</v>
      </c>
      <c r="E51" s="35" t="s">
        <v>259</v>
      </c>
      <c r="F51" s="35">
        <v>2013</v>
      </c>
      <c r="G51" s="35">
        <v>83677</v>
      </c>
      <c r="H51" s="79">
        <v>2893.63</v>
      </c>
    </row>
    <row r="52" spans="3:8" ht="15" outlineLevel="2" thickBot="1" x14ac:dyDescent="0.35">
      <c r="C52" s="76" t="s">
        <v>252</v>
      </c>
      <c r="D52" s="32">
        <v>239.83</v>
      </c>
      <c r="E52" s="33" t="s">
        <v>259</v>
      </c>
      <c r="F52" s="33">
        <v>2014</v>
      </c>
      <c r="G52" s="33">
        <v>82829</v>
      </c>
      <c r="H52" s="77">
        <v>2895.48</v>
      </c>
    </row>
    <row r="53" spans="3:8" ht="15" outlineLevel="1" thickBot="1" x14ac:dyDescent="0.35">
      <c r="C53" s="177" t="s">
        <v>391</v>
      </c>
      <c r="D53" s="178"/>
      <c r="E53" s="178"/>
      <c r="F53" s="178"/>
      <c r="G53" s="178"/>
      <c r="H53" s="89">
        <f>SUBTOTAL(1,H50:H52)</f>
        <v>2842.3133333333335</v>
      </c>
    </row>
    <row r="54" spans="3:8" outlineLevel="2" x14ac:dyDescent="0.3">
      <c r="C54" s="80" t="s">
        <v>252</v>
      </c>
      <c r="D54" s="27">
        <v>65.790000000000006</v>
      </c>
      <c r="E54" t="s">
        <v>256</v>
      </c>
      <c r="F54">
        <v>2012</v>
      </c>
      <c r="G54">
        <v>35503</v>
      </c>
      <c r="H54" s="81">
        <v>1853.08</v>
      </c>
    </row>
    <row r="55" spans="3:8" outlineLevel="2" x14ac:dyDescent="0.3">
      <c r="C55" s="76" t="s">
        <v>252</v>
      </c>
      <c r="D55" s="32">
        <v>71.25</v>
      </c>
      <c r="E55" s="33" t="s">
        <v>256</v>
      </c>
      <c r="F55" s="33">
        <v>2013</v>
      </c>
      <c r="G55" s="33">
        <v>35069</v>
      </c>
      <c r="H55" s="77">
        <v>2031.71</v>
      </c>
    </row>
    <row r="56" spans="3:8" ht="15" outlineLevel="2" thickBot="1" x14ac:dyDescent="0.35">
      <c r="C56" s="78" t="s">
        <v>252</v>
      </c>
      <c r="D56" s="34">
        <v>70.28</v>
      </c>
      <c r="E56" s="35" t="s">
        <v>256</v>
      </c>
      <c r="F56" s="35">
        <v>2014</v>
      </c>
      <c r="G56" s="35">
        <v>34676</v>
      </c>
      <c r="H56" s="79">
        <v>2026.76</v>
      </c>
    </row>
    <row r="57" spans="3:8" ht="15" outlineLevel="1" thickBot="1" x14ac:dyDescent="0.35">
      <c r="C57" s="180" t="s">
        <v>392</v>
      </c>
      <c r="D57" s="181"/>
      <c r="E57" s="181"/>
      <c r="F57" s="181"/>
      <c r="G57" s="181"/>
      <c r="H57" s="90">
        <f>SUBTOTAL(1,H54:H56)</f>
        <v>1970.5166666666667</v>
      </c>
    </row>
    <row r="58" spans="3:8" outlineLevel="2" x14ac:dyDescent="0.3">
      <c r="C58" s="82" t="s">
        <v>252</v>
      </c>
      <c r="D58" s="71">
        <v>108.5</v>
      </c>
      <c r="E58" s="72" t="s">
        <v>260</v>
      </c>
      <c r="F58" s="72">
        <v>2012</v>
      </c>
      <c r="G58" s="72">
        <v>31835</v>
      </c>
      <c r="H58" s="83">
        <v>3408.2</v>
      </c>
    </row>
    <row r="59" spans="3:8" outlineLevel="2" x14ac:dyDescent="0.3">
      <c r="C59" s="78" t="s">
        <v>252</v>
      </c>
      <c r="D59" s="34">
        <v>99.75</v>
      </c>
      <c r="E59" s="35" t="s">
        <v>260</v>
      </c>
      <c r="F59" s="35">
        <v>2013</v>
      </c>
      <c r="G59" s="35">
        <v>31815</v>
      </c>
      <c r="H59" s="79">
        <v>3135.31</v>
      </c>
    </row>
    <row r="60" spans="3:8" ht="15" outlineLevel="2" thickBot="1" x14ac:dyDescent="0.35">
      <c r="C60" s="76" t="s">
        <v>252</v>
      </c>
      <c r="D60" s="32">
        <v>102.83</v>
      </c>
      <c r="E60" s="33" t="s">
        <v>260</v>
      </c>
      <c r="F60" s="33">
        <v>2014</v>
      </c>
      <c r="G60" s="33">
        <v>31756</v>
      </c>
      <c r="H60" s="77">
        <v>3238.13</v>
      </c>
    </row>
    <row r="61" spans="3:8" ht="15" outlineLevel="1" thickBot="1" x14ac:dyDescent="0.35">
      <c r="C61" s="177" t="s">
        <v>393</v>
      </c>
      <c r="D61" s="178"/>
      <c r="E61" s="178"/>
      <c r="F61" s="178"/>
      <c r="G61" s="178"/>
      <c r="H61" s="89">
        <f>SUBTOTAL(1,H58:H60)</f>
        <v>3260.5466666666666</v>
      </c>
    </row>
    <row r="62" spans="3:8" outlineLevel="2" x14ac:dyDescent="0.3">
      <c r="C62" s="80" t="s">
        <v>252</v>
      </c>
      <c r="D62" s="27">
        <v>411.47</v>
      </c>
      <c r="E62" t="s">
        <v>261</v>
      </c>
      <c r="F62">
        <v>2012</v>
      </c>
      <c r="G62">
        <v>153479</v>
      </c>
      <c r="H62" s="81">
        <v>2680.95</v>
      </c>
    </row>
    <row r="63" spans="3:8" outlineLevel="2" x14ac:dyDescent="0.3">
      <c r="C63" s="76" t="s">
        <v>252</v>
      </c>
      <c r="D63" s="32">
        <v>431.84</v>
      </c>
      <c r="E63" s="33" t="s">
        <v>261</v>
      </c>
      <c r="F63" s="33">
        <v>2013</v>
      </c>
      <c r="G63" s="33">
        <v>153100</v>
      </c>
      <c r="H63" s="77">
        <v>2820.64</v>
      </c>
    </row>
    <row r="64" spans="3:8" ht="15" outlineLevel="2" thickBot="1" x14ac:dyDescent="0.35">
      <c r="C64" s="78" t="s">
        <v>252</v>
      </c>
      <c r="D64" s="34">
        <v>471.41</v>
      </c>
      <c r="E64" s="35" t="s">
        <v>261</v>
      </c>
      <c r="F64" s="35">
        <v>2014</v>
      </c>
      <c r="G64" s="35">
        <v>152188</v>
      </c>
      <c r="H64" s="79">
        <v>3097.55</v>
      </c>
    </row>
    <row r="65" spans="3:8" ht="15" outlineLevel="1" thickBot="1" x14ac:dyDescent="0.35">
      <c r="C65" s="180" t="s">
        <v>394</v>
      </c>
      <c r="D65" s="181"/>
      <c r="E65" s="181"/>
      <c r="F65" s="181"/>
      <c r="G65" s="181"/>
      <c r="H65" s="92">
        <f>SUBTOTAL(1,H62:H64)</f>
        <v>2866.3799999999997</v>
      </c>
    </row>
    <row r="66" spans="3:8" outlineLevel="2" x14ac:dyDescent="0.3">
      <c r="C66" s="82" t="s">
        <v>252</v>
      </c>
      <c r="D66" s="71">
        <v>65.58</v>
      </c>
      <c r="E66" s="72" t="s">
        <v>253</v>
      </c>
      <c r="F66" s="72">
        <v>2012</v>
      </c>
      <c r="G66" s="72">
        <v>31068</v>
      </c>
      <c r="H66" s="83">
        <v>2110.85</v>
      </c>
    </row>
    <row r="67" spans="3:8" outlineLevel="2" x14ac:dyDescent="0.3">
      <c r="C67" s="78" t="s">
        <v>252</v>
      </c>
      <c r="D67" s="34">
        <v>69.510000000000005</v>
      </c>
      <c r="E67" s="35" t="s">
        <v>253</v>
      </c>
      <c r="F67" s="35">
        <v>2013</v>
      </c>
      <c r="G67" s="35">
        <v>30590</v>
      </c>
      <c r="H67" s="79">
        <v>2272.31</v>
      </c>
    </row>
    <row r="68" spans="3:8" ht="15" outlineLevel="2" thickBot="1" x14ac:dyDescent="0.35">
      <c r="C68" s="76" t="s">
        <v>252</v>
      </c>
      <c r="D68" s="32">
        <v>71.849999999999994</v>
      </c>
      <c r="E68" s="33" t="s">
        <v>253</v>
      </c>
      <c r="F68" s="33">
        <v>2014</v>
      </c>
      <c r="G68" s="33">
        <v>30176</v>
      </c>
      <c r="H68" s="77">
        <v>2381.0300000000002</v>
      </c>
    </row>
    <row r="69" spans="3:8" ht="15" outlineLevel="1" thickBot="1" x14ac:dyDescent="0.35">
      <c r="C69" s="177" t="s">
        <v>395</v>
      </c>
      <c r="D69" s="178"/>
      <c r="E69" s="178"/>
      <c r="F69" s="178"/>
      <c r="G69" s="178"/>
      <c r="H69" s="91">
        <f>SUBTOTAL(1,H66:H68)</f>
        <v>2254.73</v>
      </c>
    </row>
    <row r="70" spans="3:8" outlineLevel="2" x14ac:dyDescent="0.3">
      <c r="C70" s="80" t="s">
        <v>252</v>
      </c>
      <c r="D70" s="27">
        <v>132.88999999999999</v>
      </c>
      <c r="E70" t="s">
        <v>251</v>
      </c>
      <c r="F70">
        <v>2012</v>
      </c>
      <c r="G70">
        <v>48604</v>
      </c>
      <c r="H70" s="81">
        <v>2734.14</v>
      </c>
    </row>
    <row r="71" spans="3:8" outlineLevel="2" x14ac:dyDescent="0.3">
      <c r="C71" s="76" t="s">
        <v>252</v>
      </c>
      <c r="D71" s="32">
        <v>133.49</v>
      </c>
      <c r="E71" s="33" t="s">
        <v>251</v>
      </c>
      <c r="F71" s="33">
        <v>2013</v>
      </c>
      <c r="G71" s="33">
        <v>48127</v>
      </c>
      <c r="H71" s="77">
        <v>2773.7</v>
      </c>
    </row>
    <row r="72" spans="3:8" ht="15" outlineLevel="2" thickBot="1" x14ac:dyDescent="0.35">
      <c r="C72" s="78" t="s">
        <v>252</v>
      </c>
      <c r="D72" s="34">
        <v>146.25</v>
      </c>
      <c r="E72" s="35" t="s">
        <v>251</v>
      </c>
      <c r="F72" s="35">
        <v>2014</v>
      </c>
      <c r="G72" s="35">
        <v>47476</v>
      </c>
      <c r="H72" s="79">
        <v>3080.5</v>
      </c>
    </row>
    <row r="73" spans="3:8" ht="15" outlineLevel="1" thickBot="1" x14ac:dyDescent="0.35">
      <c r="C73" s="180" t="s">
        <v>396</v>
      </c>
      <c r="D73" s="181"/>
      <c r="E73" s="181"/>
      <c r="F73" s="181"/>
      <c r="G73" s="181"/>
      <c r="H73" s="92">
        <f>SUBTOTAL(1,H70:H72)</f>
        <v>2862.78</v>
      </c>
    </row>
    <row r="74" spans="3:8" outlineLevel="2" x14ac:dyDescent="0.3">
      <c r="C74" s="82" t="s">
        <v>252</v>
      </c>
      <c r="D74" s="71">
        <v>81.14</v>
      </c>
      <c r="E74" s="72" t="s">
        <v>255</v>
      </c>
      <c r="F74" s="72">
        <v>2012</v>
      </c>
      <c r="G74" s="72">
        <v>34178</v>
      </c>
      <c r="H74" s="83">
        <v>2374.04</v>
      </c>
    </row>
    <row r="75" spans="3:8" outlineLevel="2" x14ac:dyDescent="0.3">
      <c r="C75" s="78" t="s">
        <v>252</v>
      </c>
      <c r="D75" s="34">
        <v>87.86</v>
      </c>
      <c r="E75" s="35" t="s">
        <v>255</v>
      </c>
      <c r="F75" s="35">
        <v>2013</v>
      </c>
      <c r="G75" s="35">
        <v>33826</v>
      </c>
      <c r="H75" s="79">
        <v>2597.41</v>
      </c>
    </row>
    <row r="76" spans="3:8" ht="15" outlineLevel="2" thickBot="1" x14ac:dyDescent="0.35">
      <c r="C76" s="76" t="s">
        <v>252</v>
      </c>
      <c r="D76" s="32">
        <v>90.24</v>
      </c>
      <c r="E76" s="33" t="s">
        <v>255</v>
      </c>
      <c r="F76" s="33">
        <v>2014</v>
      </c>
      <c r="G76" s="33">
        <v>33426</v>
      </c>
      <c r="H76" s="77">
        <v>2699.69</v>
      </c>
    </row>
    <row r="77" spans="3:8" ht="15" outlineLevel="1" thickBot="1" x14ac:dyDescent="0.35">
      <c r="C77" s="177" t="s">
        <v>397</v>
      </c>
      <c r="D77" s="178"/>
      <c r="E77" s="178"/>
      <c r="F77" s="178"/>
      <c r="G77" s="178"/>
      <c r="H77" s="89">
        <f>SUBTOTAL(1,H74:H76)</f>
        <v>2557.0466666666666</v>
      </c>
    </row>
    <row r="78" spans="3:8" ht="15" thickBot="1" x14ac:dyDescent="0.35">
      <c r="C78" s="84"/>
      <c r="D78" s="85"/>
      <c r="E78" s="86" t="s">
        <v>294</v>
      </c>
      <c r="F78" s="87"/>
      <c r="G78" s="87"/>
      <c r="H78" s="88">
        <f>SUBTOTAL(1,H18:H76)</f>
        <v>2838.2437777777777</v>
      </c>
    </row>
  </sheetData>
  <mergeCells count="17">
    <mergeCell ref="C65:G65"/>
    <mergeCell ref="C69:G69"/>
    <mergeCell ref="C73:G73"/>
    <mergeCell ref="C77:G77"/>
    <mergeCell ref="C41:G41"/>
    <mergeCell ref="C45:G45"/>
    <mergeCell ref="C49:G49"/>
    <mergeCell ref="C53:G53"/>
    <mergeCell ref="C57:G57"/>
    <mergeCell ref="C61:G61"/>
    <mergeCell ref="C1:H4"/>
    <mergeCell ref="C37:G37"/>
    <mergeCell ref="C12:E12"/>
    <mergeCell ref="C21:G21"/>
    <mergeCell ref="C25:G25"/>
    <mergeCell ref="C29:G29"/>
    <mergeCell ref="C33:G33"/>
  </mergeCells>
  <dataValidations count="1">
    <dataValidation type="whole" operator="equal" allowBlank="1" showInputMessage="1" showErrorMessage="1" sqref="B6:B12" xr:uid="{E0489CF6-D8EE-43FA-A69A-F73566098791}">
      <formula1>-1000</formula1>
    </dataValidation>
  </dataValidations>
  <hyperlinks>
    <hyperlink ref="A3" location="SKP_andmed" display="SKP_andmed" xr:uid="{B3C14C17-FEF1-4497-AE3F-77A385AC3E1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3FDF-6177-4436-8CC5-BDBC427A59FA}">
  <dimension ref="A1:U55"/>
  <sheetViews>
    <sheetView zoomScale="69" workbookViewId="0">
      <selection activeCell="B9" sqref="B9"/>
    </sheetView>
  </sheetViews>
  <sheetFormatPr defaultRowHeight="14.4" x14ac:dyDescent="0.3"/>
  <cols>
    <col min="2" max="2" width="21" customWidth="1"/>
    <col min="13" max="13" width="31" bestFit="1" customWidth="1"/>
    <col min="14" max="14" width="15.5546875" bestFit="1" customWidth="1"/>
    <col min="15" max="21" width="9" bestFit="1" customWidth="1"/>
    <col min="22" max="22" width="10.77734375" bestFit="1" customWidth="1"/>
    <col min="23" max="23" width="31" bestFit="1" customWidth="1"/>
    <col min="24" max="24" width="24.21875" bestFit="1" customWidth="1"/>
    <col min="25" max="25" width="31" bestFit="1" customWidth="1"/>
    <col min="26" max="26" width="24.21875" bestFit="1" customWidth="1"/>
    <col min="27" max="27" width="31" bestFit="1" customWidth="1"/>
    <col min="28" max="28" width="24.21875" bestFit="1" customWidth="1"/>
    <col min="29" max="29" width="31" bestFit="1" customWidth="1"/>
    <col min="30" max="30" width="29" bestFit="1" customWidth="1"/>
    <col min="31" max="31" width="35.77734375" bestFit="1" customWidth="1"/>
  </cols>
  <sheetData>
    <row r="1" spans="1:21" ht="14.4" customHeight="1" x14ac:dyDescent="0.3">
      <c r="B1" s="185" t="s">
        <v>399</v>
      </c>
      <c r="C1" s="186"/>
      <c r="D1" s="186"/>
      <c r="E1" s="186"/>
      <c r="F1" s="186"/>
      <c r="G1" s="186"/>
      <c r="H1" s="186"/>
      <c r="I1" s="186"/>
      <c r="J1" s="187"/>
    </row>
    <row r="2" spans="1:21" x14ac:dyDescent="0.3">
      <c r="B2" s="188"/>
      <c r="C2" s="189"/>
      <c r="D2" s="189"/>
      <c r="E2" s="189"/>
      <c r="F2" s="189"/>
      <c r="G2" s="189"/>
      <c r="H2" s="189"/>
      <c r="I2" s="189"/>
      <c r="J2" s="190"/>
    </row>
    <row r="3" spans="1:21" x14ac:dyDescent="0.3">
      <c r="B3" s="188"/>
      <c r="C3" s="189"/>
      <c r="D3" s="189"/>
      <c r="E3" s="189"/>
      <c r="F3" s="189"/>
      <c r="G3" s="189"/>
      <c r="H3" s="189"/>
      <c r="I3" s="189"/>
      <c r="J3" s="190"/>
    </row>
    <row r="4" spans="1:21" x14ac:dyDescent="0.3">
      <c r="B4" s="188"/>
      <c r="C4" s="189"/>
      <c r="D4" s="189"/>
      <c r="E4" s="189"/>
      <c r="F4" s="189"/>
      <c r="G4" s="189"/>
      <c r="H4" s="189"/>
      <c r="I4" s="189"/>
      <c r="J4" s="190"/>
    </row>
    <row r="5" spans="1:21" x14ac:dyDescent="0.3">
      <c r="B5" s="188"/>
      <c r="C5" s="189"/>
      <c r="D5" s="189"/>
      <c r="E5" s="189"/>
      <c r="F5" s="189"/>
      <c r="G5" s="189"/>
      <c r="H5" s="189"/>
      <c r="I5" s="189"/>
      <c r="J5" s="190"/>
    </row>
    <row r="6" spans="1:21" ht="15" thickBot="1" x14ac:dyDescent="0.35">
      <c r="B6" s="191"/>
      <c r="C6" s="192"/>
      <c r="D6" s="192"/>
      <c r="E6" s="192"/>
      <c r="F6" s="192"/>
      <c r="G6" s="192"/>
      <c r="H6" s="192"/>
      <c r="I6" s="192"/>
      <c r="J6" s="193"/>
    </row>
    <row r="7" spans="1:21" x14ac:dyDescent="0.3">
      <c r="A7" s="23"/>
    </row>
    <row r="8" spans="1:21" ht="43.2" customHeight="1" x14ac:dyDescent="0.45">
      <c r="B8" s="108" t="s">
        <v>350</v>
      </c>
    </row>
    <row r="9" spans="1:21" ht="43.2" customHeight="1" x14ac:dyDescent="0.45">
      <c r="B9" s="102" t="s">
        <v>358</v>
      </c>
    </row>
    <row r="11" spans="1:21" x14ac:dyDescent="0.3">
      <c r="B11" s="23"/>
      <c r="M11" t="s">
        <v>232</v>
      </c>
      <c r="N11" t="s">
        <v>254</v>
      </c>
    </row>
    <row r="12" spans="1:21" x14ac:dyDescent="0.3">
      <c r="N12" s="26"/>
    </row>
    <row r="13" spans="1:21" x14ac:dyDescent="0.3">
      <c r="B13" s="58" t="s">
        <v>246</v>
      </c>
      <c r="C13" s="57">
        <v>2012</v>
      </c>
      <c r="D13" s="57">
        <v>2013</v>
      </c>
      <c r="E13" s="57">
        <v>2014</v>
      </c>
      <c r="F13" s="57">
        <v>2015</v>
      </c>
      <c r="G13" s="57">
        <v>2016</v>
      </c>
      <c r="H13" s="57">
        <v>2017</v>
      </c>
      <c r="I13" s="57">
        <v>2018</v>
      </c>
      <c r="J13" s="57">
        <v>2019</v>
      </c>
      <c r="M13" t="s">
        <v>272</v>
      </c>
      <c r="N13" t="s">
        <v>270</v>
      </c>
    </row>
    <row r="14" spans="1:21" x14ac:dyDescent="0.3">
      <c r="B14" s="50" t="s">
        <v>250</v>
      </c>
      <c r="C14" s="7">
        <f>SUMIFS(majandusnäitajad_el._kohta,maakond,$B14,aasta,C$13,majandussektorid,"Teenused*")</f>
        <v>13335.09</v>
      </c>
      <c r="D14" s="7">
        <f t="shared" ref="C14:J28" si="0">SUMIFS(majandusnäitajad_el._kohta,maakond,$B14,aasta,D$13,majandussektorid,"Teenused*")</f>
        <v>14304.53</v>
      </c>
      <c r="E14" s="7">
        <f t="shared" si="0"/>
        <v>15264.44</v>
      </c>
      <c r="F14" s="7">
        <f t="shared" si="0"/>
        <v>15793.44</v>
      </c>
      <c r="G14" s="7">
        <f t="shared" si="0"/>
        <v>16482.59</v>
      </c>
      <c r="H14" s="7">
        <f t="shared" si="0"/>
        <v>18055.240000000002</v>
      </c>
      <c r="I14" s="7">
        <f t="shared" si="0"/>
        <v>19486.02</v>
      </c>
      <c r="J14" s="7">
        <f t="shared" si="0"/>
        <v>21253.29</v>
      </c>
      <c r="M14" t="s">
        <v>271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</row>
    <row r="15" spans="1:21" x14ac:dyDescent="0.3">
      <c r="B15" s="50" t="s">
        <v>239</v>
      </c>
      <c r="C15" s="7">
        <f>SUMIFS(majandusnäitajad_el._kohta,maakond,$B15,aasta,C$13,majandussektorid,"Teenused*")</f>
        <v>3237.82</v>
      </c>
      <c r="D15" s="7">
        <f t="shared" si="0"/>
        <v>3212.55</v>
      </c>
      <c r="E15" s="7">
        <f t="shared" si="0"/>
        <v>3143.56</v>
      </c>
      <c r="F15" s="7">
        <f t="shared" si="0"/>
        <v>3489.86</v>
      </c>
      <c r="G15" s="7">
        <f t="shared" si="0"/>
        <v>3506.63</v>
      </c>
      <c r="H15" s="7">
        <f t="shared" si="0"/>
        <v>5152.6499999999996</v>
      </c>
      <c r="I15" s="7">
        <f t="shared" si="0"/>
        <v>5608.82</v>
      </c>
      <c r="J15" s="7">
        <f t="shared" si="0"/>
        <v>6098.86</v>
      </c>
      <c r="M15" s="29" t="s">
        <v>250</v>
      </c>
      <c r="N15">
        <v>13335.09</v>
      </c>
      <c r="O15">
        <v>14304.53</v>
      </c>
      <c r="P15">
        <v>15264.44</v>
      </c>
      <c r="Q15">
        <v>15793.44</v>
      </c>
      <c r="R15">
        <v>16482.59</v>
      </c>
      <c r="S15">
        <v>18055.240000000002</v>
      </c>
      <c r="T15">
        <v>19486.02</v>
      </c>
      <c r="U15">
        <v>21253.29</v>
      </c>
    </row>
    <row r="16" spans="1:21" x14ac:dyDescent="0.3">
      <c r="B16" s="50" t="s">
        <v>257</v>
      </c>
      <c r="C16" s="7">
        <f t="shared" si="0"/>
        <v>3096.16</v>
      </c>
      <c r="D16" s="7">
        <f t="shared" si="0"/>
        <v>2969.08</v>
      </c>
      <c r="E16" s="7">
        <f t="shared" si="0"/>
        <v>3128.52</v>
      </c>
      <c r="F16" s="7">
        <f t="shared" si="0"/>
        <v>3249.73</v>
      </c>
      <c r="G16" s="7">
        <f t="shared" si="0"/>
        <v>3279.59</v>
      </c>
      <c r="H16" s="7">
        <f t="shared" si="0"/>
        <v>3426.4</v>
      </c>
      <c r="I16" s="7">
        <f t="shared" si="0"/>
        <v>3867.47</v>
      </c>
      <c r="J16" s="7">
        <f t="shared" si="0"/>
        <v>4242.95</v>
      </c>
      <c r="M16" s="29" t="s">
        <v>239</v>
      </c>
      <c r="N16">
        <v>3237.82</v>
      </c>
      <c r="O16">
        <v>3212.55</v>
      </c>
      <c r="P16">
        <v>3143.56</v>
      </c>
      <c r="Q16">
        <v>3489.86</v>
      </c>
      <c r="R16">
        <v>3506.63</v>
      </c>
      <c r="S16">
        <v>5152.6499999999996</v>
      </c>
      <c r="T16">
        <v>5608.82</v>
      </c>
      <c r="U16">
        <v>6098.86</v>
      </c>
    </row>
    <row r="17" spans="2:21" x14ac:dyDescent="0.3">
      <c r="B17" s="50" t="s">
        <v>240</v>
      </c>
      <c r="C17" s="7">
        <f t="shared" si="0"/>
        <v>2353.0500000000002</v>
      </c>
      <c r="D17" s="7">
        <f t="shared" si="0"/>
        <v>2385.16</v>
      </c>
      <c r="E17" s="7">
        <f t="shared" si="0"/>
        <v>2294.4299999999998</v>
      </c>
      <c r="F17" s="7">
        <f t="shared" si="0"/>
        <v>2624.43</v>
      </c>
      <c r="G17" s="7">
        <f t="shared" si="0"/>
        <v>2503.35</v>
      </c>
      <c r="H17" s="7">
        <f t="shared" si="0"/>
        <v>3292.48</v>
      </c>
      <c r="I17" s="7">
        <f t="shared" si="0"/>
        <v>3955.49</v>
      </c>
      <c r="J17" s="7">
        <f t="shared" si="0"/>
        <v>4348.51</v>
      </c>
      <c r="M17" s="29" t="s">
        <v>257</v>
      </c>
      <c r="N17">
        <v>3096.16</v>
      </c>
      <c r="O17">
        <v>2969.08</v>
      </c>
      <c r="P17">
        <v>3128.52</v>
      </c>
      <c r="Q17">
        <v>3249.73</v>
      </c>
      <c r="R17">
        <v>3279.59</v>
      </c>
      <c r="S17">
        <v>3426.4</v>
      </c>
      <c r="T17">
        <v>3867.47</v>
      </c>
      <c r="U17">
        <v>4242.95</v>
      </c>
    </row>
    <row r="18" spans="2:21" x14ac:dyDescent="0.3">
      <c r="B18" s="50" t="s">
        <v>241</v>
      </c>
      <c r="C18" s="7">
        <f t="shared" si="0"/>
        <v>3273.62</v>
      </c>
      <c r="D18" s="7">
        <f t="shared" si="0"/>
        <v>3274.03</v>
      </c>
      <c r="E18" s="7">
        <f t="shared" si="0"/>
        <v>3430.4</v>
      </c>
      <c r="F18" s="7">
        <f t="shared" si="0"/>
        <v>3467.4</v>
      </c>
      <c r="G18" s="7">
        <f t="shared" si="0"/>
        <v>3558.89</v>
      </c>
      <c r="H18" s="7">
        <f t="shared" si="0"/>
        <v>3946.61</v>
      </c>
      <c r="I18" s="7">
        <f t="shared" si="0"/>
        <v>4594.4399999999996</v>
      </c>
      <c r="J18" s="7">
        <f t="shared" si="0"/>
        <v>5090.47</v>
      </c>
      <c r="M18" s="29" t="s">
        <v>240</v>
      </c>
      <c r="N18">
        <v>2353.0500000000002</v>
      </c>
      <c r="O18">
        <v>2385.16</v>
      </c>
      <c r="P18">
        <v>2294.4299999999998</v>
      </c>
      <c r="Q18">
        <v>2624.43</v>
      </c>
      <c r="R18">
        <v>2503.35</v>
      </c>
      <c r="S18">
        <v>3292.48</v>
      </c>
      <c r="T18">
        <v>3955.49</v>
      </c>
      <c r="U18">
        <v>4348.51</v>
      </c>
    </row>
    <row r="19" spans="2:21" x14ac:dyDescent="0.3">
      <c r="B19" s="50" t="s">
        <v>258</v>
      </c>
      <c r="C19" s="7">
        <f t="shared" si="0"/>
        <v>3690.87</v>
      </c>
      <c r="D19" s="7">
        <f t="shared" si="0"/>
        <v>3839.25</v>
      </c>
      <c r="E19" s="7">
        <f t="shared" si="0"/>
        <v>3890.15</v>
      </c>
      <c r="F19" s="7">
        <f t="shared" si="0"/>
        <v>3852.1</v>
      </c>
      <c r="G19" s="7">
        <f t="shared" si="0"/>
        <v>3632.22</v>
      </c>
      <c r="H19" s="7">
        <f t="shared" si="0"/>
        <v>3948.4</v>
      </c>
      <c r="I19" s="7">
        <f t="shared" si="0"/>
        <v>5118.67</v>
      </c>
      <c r="J19" s="7">
        <f t="shared" si="0"/>
        <v>5584.43</v>
      </c>
      <c r="M19" s="29" t="s">
        <v>241</v>
      </c>
      <c r="N19">
        <v>3273.62</v>
      </c>
      <c r="O19">
        <v>3274.03</v>
      </c>
      <c r="P19">
        <v>3430.4</v>
      </c>
      <c r="Q19">
        <v>3467.4</v>
      </c>
      <c r="R19">
        <v>3558.89</v>
      </c>
      <c r="S19">
        <v>3946.61</v>
      </c>
      <c r="T19">
        <v>4594.4399999999996</v>
      </c>
      <c r="U19">
        <v>5090.47</v>
      </c>
    </row>
    <row r="20" spans="2:21" x14ac:dyDescent="0.3">
      <c r="B20" s="50" t="s">
        <v>242</v>
      </c>
      <c r="C20" s="7">
        <f t="shared" si="0"/>
        <v>3596.66</v>
      </c>
      <c r="D20" s="7">
        <f t="shared" si="0"/>
        <v>3224.33</v>
      </c>
      <c r="E20" s="7">
        <f t="shared" si="0"/>
        <v>3165.16</v>
      </c>
      <c r="F20" s="7">
        <f t="shared" si="0"/>
        <v>3436.71</v>
      </c>
      <c r="G20" s="7">
        <f t="shared" si="0"/>
        <v>3521.95</v>
      </c>
      <c r="H20" s="7">
        <f t="shared" si="0"/>
        <v>3913.96</v>
      </c>
      <c r="I20" s="7">
        <f t="shared" si="0"/>
        <v>4043.42</v>
      </c>
      <c r="J20" s="7">
        <f t="shared" si="0"/>
        <v>4385.67</v>
      </c>
      <c r="M20" s="29" t="s">
        <v>258</v>
      </c>
      <c r="N20">
        <v>3690.87</v>
      </c>
      <c r="O20">
        <v>3839.25</v>
      </c>
      <c r="P20">
        <v>3890.15</v>
      </c>
      <c r="Q20">
        <v>3852.1</v>
      </c>
      <c r="R20">
        <v>3632.22</v>
      </c>
      <c r="S20">
        <v>3948.4</v>
      </c>
      <c r="T20">
        <v>5118.67</v>
      </c>
      <c r="U20">
        <v>5584.43</v>
      </c>
    </row>
    <row r="21" spans="2:21" x14ac:dyDescent="0.3">
      <c r="B21" s="50" t="s">
        <v>248</v>
      </c>
      <c r="C21" s="7">
        <f t="shared" si="0"/>
        <v>2350.67</v>
      </c>
      <c r="D21" s="7">
        <f t="shared" si="0"/>
        <v>2927.45</v>
      </c>
      <c r="E21" s="7">
        <f t="shared" si="0"/>
        <v>2967.69</v>
      </c>
      <c r="F21" s="7">
        <f t="shared" si="0"/>
        <v>3293.61</v>
      </c>
      <c r="G21" s="7">
        <f t="shared" si="0"/>
        <v>3252.18</v>
      </c>
      <c r="H21" s="7">
        <f t="shared" si="0"/>
        <v>3542.54</v>
      </c>
      <c r="I21" s="7">
        <f t="shared" si="0"/>
        <v>3975.09</v>
      </c>
      <c r="J21" s="7">
        <f t="shared" si="0"/>
        <v>4368.1499999999996</v>
      </c>
      <c r="M21" s="29" t="s">
        <v>242</v>
      </c>
      <c r="N21">
        <v>3596.66</v>
      </c>
      <c r="O21">
        <v>3224.33</v>
      </c>
      <c r="P21">
        <v>3165.16</v>
      </c>
      <c r="Q21">
        <v>3436.71</v>
      </c>
      <c r="R21">
        <v>3521.95</v>
      </c>
      <c r="S21">
        <v>3913.96</v>
      </c>
      <c r="T21">
        <v>4043.42</v>
      </c>
      <c r="U21">
        <v>4385.67</v>
      </c>
    </row>
    <row r="22" spans="2:21" x14ac:dyDescent="0.3">
      <c r="B22" s="50" t="s">
        <v>259</v>
      </c>
      <c r="C22" s="7">
        <f t="shared" si="0"/>
        <v>4578.1400000000003</v>
      </c>
      <c r="D22" s="7">
        <f t="shared" si="0"/>
        <v>4589.1899999999996</v>
      </c>
      <c r="E22" s="7">
        <f t="shared" si="0"/>
        <v>4793.7299999999996</v>
      </c>
      <c r="F22" s="7">
        <f t="shared" si="0"/>
        <v>5217.91</v>
      </c>
      <c r="G22" s="7">
        <f t="shared" si="0"/>
        <v>5566.35</v>
      </c>
      <c r="H22" s="7">
        <f t="shared" si="0"/>
        <v>5831.34</v>
      </c>
      <c r="I22" s="7">
        <f t="shared" si="0"/>
        <v>6584.96</v>
      </c>
      <c r="J22" s="7">
        <f t="shared" si="0"/>
        <v>7086.16</v>
      </c>
      <c r="M22" s="29" t="s">
        <v>248</v>
      </c>
      <c r="N22">
        <v>2350.67</v>
      </c>
      <c r="O22">
        <v>2927.45</v>
      </c>
      <c r="P22">
        <v>2967.69</v>
      </c>
      <c r="Q22">
        <v>3293.61</v>
      </c>
      <c r="R22">
        <v>3252.18</v>
      </c>
      <c r="S22">
        <v>3542.54</v>
      </c>
      <c r="T22">
        <v>3975.09</v>
      </c>
      <c r="U22">
        <v>4368.1499999999996</v>
      </c>
    </row>
    <row r="23" spans="2:21" x14ac:dyDescent="0.3">
      <c r="B23" s="50" t="s">
        <v>256</v>
      </c>
      <c r="C23" s="7">
        <f t="shared" si="0"/>
        <v>2725.4</v>
      </c>
      <c r="D23" s="7">
        <f t="shared" si="0"/>
        <v>3559.84</v>
      </c>
      <c r="E23" s="7">
        <f t="shared" si="0"/>
        <v>3610.85</v>
      </c>
      <c r="F23" s="7">
        <f t="shared" si="0"/>
        <v>3849.17</v>
      </c>
      <c r="G23" s="7">
        <f t="shared" si="0"/>
        <v>4026.88</v>
      </c>
      <c r="H23" s="7">
        <f t="shared" si="0"/>
        <v>4539.83</v>
      </c>
      <c r="I23" s="7">
        <f t="shared" si="0"/>
        <v>5388.75</v>
      </c>
      <c r="J23" s="7">
        <f t="shared" si="0"/>
        <v>5838.01</v>
      </c>
      <c r="M23" s="29" t="s">
        <v>259</v>
      </c>
      <c r="N23">
        <v>4578.1400000000003</v>
      </c>
      <c r="O23">
        <v>4589.1899999999996</v>
      </c>
      <c r="P23">
        <v>4793.7299999999996</v>
      </c>
      <c r="Q23">
        <v>5217.91</v>
      </c>
      <c r="R23">
        <v>5566.35</v>
      </c>
      <c r="S23">
        <v>5831.34</v>
      </c>
      <c r="T23">
        <v>6584.96</v>
      </c>
      <c r="U23">
        <v>7086.16</v>
      </c>
    </row>
    <row r="24" spans="2:21" x14ac:dyDescent="0.3">
      <c r="B24" s="50" t="s">
        <v>260</v>
      </c>
      <c r="C24" s="7">
        <f t="shared" si="0"/>
        <v>4601.2299999999996</v>
      </c>
      <c r="D24" s="7">
        <f t="shared" si="0"/>
        <v>4950.18</v>
      </c>
      <c r="E24" s="7">
        <f t="shared" si="0"/>
        <v>5069.59</v>
      </c>
      <c r="F24" s="7">
        <f t="shared" si="0"/>
        <v>5655.4</v>
      </c>
      <c r="G24" s="7">
        <f t="shared" si="0"/>
        <v>7466.32</v>
      </c>
      <c r="H24" s="7">
        <f t="shared" si="0"/>
        <v>6402.26</v>
      </c>
      <c r="I24" s="7">
        <f t="shared" si="0"/>
        <v>7297.7</v>
      </c>
      <c r="J24" s="7">
        <f t="shared" si="0"/>
        <v>7845.84</v>
      </c>
      <c r="M24" s="29" t="s">
        <v>256</v>
      </c>
      <c r="N24">
        <v>2725.4</v>
      </c>
      <c r="O24">
        <v>3559.84</v>
      </c>
      <c r="P24">
        <v>3610.85</v>
      </c>
      <c r="Q24">
        <v>3849.17</v>
      </c>
      <c r="R24">
        <v>4026.88</v>
      </c>
      <c r="S24">
        <v>4539.83</v>
      </c>
      <c r="T24">
        <v>5388.75</v>
      </c>
      <c r="U24">
        <v>5838.01</v>
      </c>
    </row>
    <row r="25" spans="2:21" x14ac:dyDescent="0.3">
      <c r="B25" s="50" t="s">
        <v>261</v>
      </c>
      <c r="C25" s="7">
        <f t="shared" si="0"/>
        <v>6992.16</v>
      </c>
      <c r="D25" s="7">
        <f t="shared" si="0"/>
        <v>7252.65</v>
      </c>
      <c r="E25" s="7">
        <f t="shared" si="0"/>
        <v>7755.01</v>
      </c>
      <c r="F25" s="7">
        <f t="shared" si="0"/>
        <v>8128.58</v>
      </c>
      <c r="G25" s="7">
        <f t="shared" si="0"/>
        <v>9359.32</v>
      </c>
      <c r="H25" s="7">
        <f t="shared" si="0"/>
        <v>10273.17</v>
      </c>
      <c r="I25" s="7">
        <f t="shared" si="0"/>
        <v>10974.25</v>
      </c>
      <c r="J25" s="7">
        <f t="shared" si="0"/>
        <v>12031.48</v>
      </c>
      <c r="M25" s="29" t="s">
        <v>260</v>
      </c>
      <c r="N25">
        <v>4601.2299999999996</v>
      </c>
      <c r="O25">
        <v>4950.18</v>
      </c>
      <c r="P25">
        <v>5069.59</v>
      </c>
      <c r="Q25">
        <v>5655.4</v>
      </c>
      <c r="R25">
        <v>7466.32</v>
      </c>
      <c r="S25">
        <v>6402.26</v>
      </c>
      <c r="T25">
        <v>7297.7</v>
      </c>
      <c r="U25">
        <v>7845.84</v>
      </c>
    </row>
    <row r="26" spans="2:21" x14ac:dyDescent="0.3">
      <c r="B26" s="50" t="s">
        <v>253</v>
      </c>
      <c r="C26" s="7">
        <f t="shared" si="0"/>
        <v>2528.3200000000002</v>
      </c>
      <c r="D26" s="7">
        <f t="shared" si="0"/>
        <v>2718.54</v>
      </c>
      <c r="E26" s="7">
        <f t="shared" si="0"/>
        <v>2888.06</v>
      </c>
      <c r="F26" s="7">
        <f t="shared" si="0"/>
        <v>3109.8</v>
      </c>
      <c r="G26" s="7">
        <f t="shared" si="0"/>
        <v>4242.5600000000004</v>
      </c>
      <c r="H26" s="7">
        <f t="shared" si="0"/>
        <v>3395.49</v>
      </c>
      <c r="I26" s="7">
        <f t="shared" si="0"/>
        <v>3855.38</v>
      </c>
      <c r="J26" s="7">
        <f t="shared" si="0"/>
        <v>4176.24</v>
      </c>
      <c r="M26" s="29" t="s">
        <v>261</v>
      </c>
      <c r="N26">
        <v>6992.16</v>
      </c>
      <c r="O26">
        <v>7252.65</v>
      </c>
      <c r="P26">
        <v>7755.01</v>
      </c>
      <c r="Q26">
        <v>8128.58</v>
      </c>
      <c r="R26">
        <v>9359.32</v>
      </c>
      <c r="S26">
        <v>10273.17</v>
      </c>
      <c r="T26">
        <v>10974.25</v>
      </c>
      <c r="U26">
        <v>12031.48</v>
      </c>
    </row>
    <row r="27" spans="2:21" x14ac:dyDescent="0.3">
      <c r="B27" s="50" t="s">
        <v>251</v>
      </c>
      <c r="C27" s="7">
        <f t="shared" si="0"/>
        <v>3316.19</v>
      </c>
      <c r="D27" s="7">
        <f t="shared" si="0"/>
        <v>3990.69</v>
      </c>
      <c r="E27" s="7">
        <f t="shared" si="0"/>
        <v>3941.15</v>
      </c>
      <c r="F27" s="7">
        <f t="shared" si="0"/>
        <v>3984.68</v>
      </c>
      <c r="G27" s="7">
        <f t="shared" si="0"/>
        <v>4078.32</v>
      </c>
      <c r="H27" s="7">
        <f t="shared" si="0"/>
        <v>4621.26</v>
      </c>
      <c r="I27" s="7">
        <f t="shared" si="0"/>
        <v>5416.4</v>
      </c>
      <c r="J27" s="7">
        <f t="shared" si="0"/>
        <v>5974.85</v>
      </c>
      <c r="M27" s="29" t="s">
        <v>253</v>
      </c>
      <c r="N27">
        <v>2528.3200000000002</v>
      </c>
      <c r="O27">
        <v>2718.54</v>
      </c>
      <c r="P27">
        <v>2888.06</v>
      </c>
      <c r="Q27">
        <v>3109.8</v>
      </c>
      <c r="R27">
        <v>4242.5600000000004</v>
      </c>
      <c r="S27">
        <v>3395.49</v>
      </c>
      <c r="T27">
        <v>3855.38</v>
      </c>
      <c r="U27">
        <v>4176.24</v>
      </c>
    </row>
    <row r="28" spans="2:21" x14ac:dyDescent="0.3">
      <c r="B28" s="50" t="s">
        <v>255</v>
      </c>
      <c r="C28" s="7">
        <f t="shared" si="0"/>
        <v>3257.07</v>
      </c>
      <c r="D28" s="7">
        <f t="shared" si="0"/>
        <v>3251.94</v>
      </c>
      <c r="E28" s="7">
        <f t="shared" si="0"/>
        <v>3203.79</v>
      </c>
      <c r="F28" s="7">
        <f t="shared" si="0"/>
        <v>3149.04</v>
      </c>
      <c r="G28" s="7">
        <f t="shared" si="0"/>
        <v>3495.72</v>
      </c>
      <c r="H28" s="7">
        <f t="shared" si="0"/>
        <v>3833.16</v>
      </c>
      <c r="I28" s="7">
        <f t="shared" si="0"/>
        <v>4002.44</v>
      </c>
      <c r="J28" s="7">
        <f t="shared" si="0"/>
        <v>4353.59</v>
      </c>
      <c r="M28" s="29" t="s">
        <v>251</v>
      </c>
      <c r="N28">
        <v>3316.19</v>
      </c>
      <c r="O28">
        <v>3990.69</v>
      </c>
      <c r="P28">
        <v>3941.15</v>
      </c>
      <c r="Q28">
        <v>3984.68</v>
      </c>
      <c r="R28">
        <v>4078.32</v>
      </c>
      <c r="S28">
        <v>4621.26</v>
      </c>
      <c r="T28">
        <v>5416.4</v>
      </c>
      <c r="U28">
        <v>5974.85</v>
      </c>
    </row>
    <row r="29" spans="2:21" ht="28.8" x14ac:dyDescent="0.3">
      <c r="B29" s="36" t="s">
        <v>295</v>
      </c>
      <c r="C29" s="37">
        <f>_xlfn.STDEV.P(C14:C28)</f>
        <v>2691.2921988731673</v>
      </c>
      <c r="D29" s="37">
        <f t="shared" ref="D29:J29" si="1">_xlfn.STDEV.P(D14:D28)</f>
        <v>2877.8592510741191</v>
      </c>
      <c r="E29" s="37">
        <f t="shared" si="1"/>
        <v>3124.2975156854413</v>
      </c>
      <c r="F29" s="37">
        <f t="shared" si="1"/>
        <v>3221.1978811611884</v>
      </c>
      <c r="G29" s="37">
        <f t="shared" si="1"/>
        <v>3482.4437421440457</v>
      </c>
      <c r="H29" s="37">
        <f t="shared" si="1"/>
        <v>3746.2582692645315</v>
      </c>
      <c r="I29" s="37">
        <f t="shared" si="1"/>
        <v>3969.4552271290609</v>
      </c>
      <c r="J29" s="37">
        <f t="shared" si="1"/>
        <v>4328.7348482494181</v>
      </c>
      <c r="M29" s="29" t="s">
        <v>255</v>
      </c>
      <c r="N29">
        <v>3257.07</v>
      </c>
      <c r="O29">
        <v>3251.94</v>
      </c>
      <c r="P29">
        <v>3203.79</v>
      </c>
      <c r="Q29">
        <v>3149.04</v>
      </c>
      <c r="R29">
        <v>3495.72</v>
      </c>
      <c r="S29">
        <v>3833.16</v>
      </c>
      <c r="T29">
        <v>4002.44</v>
      </c>
      <c r="U29">
        <v>4353.59</v>
      </c>
    </row>
    <row r="30" spans="2:21" ht="28.8" x14ac:dyDescent="0.3">
      <c r="B30" s="36" t="s">
        <v>362</v>
      </c>
      <c r="C30" s="182">
        <v>2012</v>
      </c>
      <c r="D30" s="183"/>
      <c r="E30" s="183"/>
      <c r="F30" s="183"/>
      <c r="G30" s="183"/>
      <c r="H30" s="183"/>
      <c r="I30" s="183"/>
      <c r="J30" s="184"/>
    </row>
    <row r="40" spans="2:13" x14ac:dyDescent="0.3">
      <c r="C40" s="21"/>
      <c r="D40" s="21"/>
      <c r="E40" s="21"/>
      <c r="F40" s="21"/>
      <c r="G40" s="21"/>
      <c r="H40" s="21"/>
      <c r="I40" s="21"/>
      <c r="J40" s="21"/>
    </row>
    <row r="41" spans="2:13" x14ac:dyDescent="0.3">
      <c r="B41" s="21"/>
      <c r="L41" s="21"/>
      <c r="M41" s="21"/>
    </row>
    <row r="42" spans="2:13" x14ac:dyDescent="0.3">
      <c r="B42" s="21"/>
    </row>
    <row r="43" spans="2:13" x14ac:dyDescent="0.3">
      <c r="B43" s="21"/>
    </row>
    <row r="44" spans="2:13" x14ac:dyDescent="0.3">
      <c r="B44" s="21"/>
    </row>
    <row r="45" spans="2:13" x14ac:dyDescent="0.3">
      <c r="B45" s="21"/>
    </row>
    <row r="46" spans="2:13" x14ac:dyDescent="0.3">
      <c r="B46" s="21"/>
    </row>
    <row r="47" spans="2:13" x14ac:dyDescent="0.3">
      <c r="B47" s="21"/>
    </row>
    <row r="48" spans="2:13" x14ac:dyDescent="0.3">
      <c r="B48" s="21"/>
    </row>
    <row r="49" spans="2:2" x14ac:dyDescent="0.3">
      <c r="B49" s="21"/>
    </row>
    <row r="50" spans="2:2" x14ac:dyDescent="0.3">
      <c r="B50" s="21"/>
    </row>
    <row r="51" spans="2:2" x14ac:dyDescent="0.3">
      <c r="B51" s="21"/>
    </row>
    <row r="52" spans="2:2" x14ac:dyDescent="0.3">
      <c r="B52" s="21"/>
    </row>
    <row r="53" spans="2:2" x14ac:dyDescent="0.3">
      <c r="B53" s="21"/>
    </row>
    <row r="54" spans="2:2" x14ac:dyDescent="0.3">
      <c r="B54" s="21"/>
    </row>
    <row r="55" spans="2:2" x14ac:dyDescent="0.3">
      <c r="B55" s="21"/>
    </row>
  </sheetData>
  <mergeCells count="2">
    <mergeCell ref="C30:J30"/>
    <mergeCell ref="B1:J6"/>
  </mergeCells>
  <dataValidations count="1">
    <dataValidation type="whole" operator="equal" allowBlank="1" showInputMessage="1" showErrorMessage="1" sqref="B7:B11" xr:uid="{C7CC6257-4590-46B8-9FB4-511C59ED1706}">
      <formula1>-1000</formula1>
    </dataValidation>
  </dataValidations>
  <hyperlinks>
    <hyperlink ref="B9" location="SKP_andmed" display="SKP_andmed" xr:uid="{CBBA6B55-511B-4CC1-94E2-D2E31E126C5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3187-CB5F-4900-B25C-E92035F5671F}">
  <dimension ref="A1:AH47"/>
  <sheetViews>
    <sheetView zoomScale="78" zoomScaleNormal="100" workbookViewId="0">
      <selection activeCell="N4" sqref="N4"/>
    </sheetView>
  </sheetViews>
  <sheetFormatPr defaultRowHeight="14.4" x14ac:dyDescent="0.3"/>
  <cols>
    <col min="1" max="1" width="8.88671875" customWidth="1"/>
    <col min="2" max="2" width="11.21875" customWidth="1"/>
    <col min="3" max="3" width="13.109375" customWidth="1"/>
    <col min="4" max="4" width="7.109375" customWidth="1"/>
    <col min="5" max="5" width="15.21875" customWidth="1"/>
    <col min="6" max="6" width="6.88671875" customWidth="1"/>
    <col min="7" max="7" width="15.77734375" customWidth="1"/>
    <col min="8" max="8" width="10.5546875" customWidth="1"/>
    <col min="9" max="9" width="12.5546875" customWidth="1"/>
    <col min="10" max="11" width="10.5546875" customWidth="1"/>
    <col min="13" max="13" width="20" bestFit="1" customWidth="1"/>
    <col min="14" max="14" width="8.88671875" customWidth="1"/>
    <col min="19" max="19" width="14.6640625" bestFit="1" customWidth="1"/>
    <col min="21" max="21" width="12.77734375" customWidth="1"/>
    <col min="22" max="22" width="16.5546875" customWidth="1"/>
    <col min="24" max="34" width="11.109375" customWidth="1"/>
  </cols>
  <sheetData>
    <row r="1" spans="1:21" ht="14.4" customHeight="1" x14ac:dyDescent="0.3">
      <c r="D1" s="202" t="s">
        <v>415</v>
      </c>
      <c r="E1" s="203"/>
      <c r="F1" s="203"/>
      <c r="G1" s="203"/>
      <c r="H1" s="203"/>
      <c r="I1" s="203"/>
      <c r="J1" s="203"/>
      <c r="K1" s="203"/>
      <c r="L1" s="204"/>
    </row>
    <row r="2" spans="1:21" x14ac:dyDescent="0.3">
      <c r="D2" s="205"/>
      <c r="E2" s="206"/>
      <c r="F2" s="206"/>
      <c r="G2" s="206"/>
      <c r="H2" s="206"/>
      <c r="I2" s="206"/>
      <c r="J2" s="206"/>
      <c r="K2" s="206"/>
      <c r="L2" s="207"/>
    </row>
    <row r="3" spans="1:21" ht="43.8" customHeight="1" x14ac:dyDescent="0.3">
      <c r="A3" s="179" t="s">
        <v>372</v>
      </c>
      <c r="B3" s="179"/>
      <c r="D3" s="205"/>
      <c r="E3" s="206"/>
      <c r="F3" s="206"/>
      <c r="G3" s="206"/>
      <c r="H3" s="206"/>
      <c r="I3" s="206"/>
      <c r="J3" s="206"/>
      <c r="K3" s="206"/>
      <c r="L3" s="207"/>
    </row>
    <row r="4" spans="1:21" ht="43.8" customHeight="1" thickBot="1" x14ac:dyDescent="0.5">
      <c r="A4" s="197" t="s">
        <v>400</v>
      </c>
      <c r="B4" s="197"/>
      <c r="D4" s="208"/>
      <c r="E4" s="209"/>
      <c r="F4" s="209"/>
      <c r="G4" s="209"/>
      <c r="H4" s="209"/>
      <c r="I4" s="209"/>
      <c r="J4" s="209"/>
      <c r="K4" s="209"/>
      <c r="L4" s="210"/>
    </row>
    <row r="7" spans="1:21" x14ac:dyDescent="0.3">
      <c r="B7" s="21"/>
    </row>
    <row r="8" spans="1:21" x14ac:dyDescent="0.3">
      <c r="B8" s="21"/>
      <c r="M8" s="100" t="s">
        <v>405</v>
      </c>
      <c r="N8" s="179" t="s">
        <v>347</v>
      </c>
      <c r="O8" s="179"/>
      <c r="P8" s="179"/>
      <c r="Q8" s="179"/>
      <c r="R8" s="179"/>
      <c r="S8" s="179"/>
      <c r="T8" s="179"/>
      <c r="U8" s="179"/>
    </row>
    <row r="9" spans="1:21" x14ac:dyDescent="0.3">
      <c r="B9" s="21"/>
      <c r="M9" s="111" t="s">
        <v>406</v>
      </c>
    </row>
    <row r="10" spans="1:21" x14ac:dyDescent="0.3">
      <c r="C10" s="21" t="s">
        <v>296</v>
      </c>
      <c r="E10" s="109" t="s">
        <v>297</v>
      </c>
      <c r="G10" s="179" t="s">
        <v>298</v>
      </c>
      <c r="H10" s="179"/>
      <c r="I10" s="179"/>
      <c r="J10" s="179"/>
      <c r="K10" s="179"/>
      <c r="M10" s="18" t="s">
        <v>407</v>
      </c>
    </row>
    <row r="11" spans="1:21" x14ac:dyDescent="0.3">
      <c r="B11" s="38" t="s">
        <v>299</v>
      </c>
      <c r="C11" s="7" t="s">
        <v>300</v>
      </c>
      <c r="E11" s="110" t="s">
        <v>301</v>
      </c>
      <c r="G11" s="39" t="s">
        <v>302</v>
      </c>
      <c r="H11" s="7" t="s">
        <v>303</v>
      </c>
      <c r="I11" s="7" t="s">
        <v>304</v>
      </c>
      <c r="J11" s="7" t="s">
        <v>304</v>
      </c>
      <c r="K11" s="7" t="s">
        <v>303</v>
      </c>
      <c r="M11" s="18" t="s">
        <v>408</v>
      </c>
    </row>
    <row r="12" spans="1:21" ht="15.6" x14ac:dyDescent="0.35">
      <c r="B12" s="38" t="s">
        <v>305</v>
      </c>
      <c r="C12" s="7">
        <v>54</v>
      </c>
      <c r="D12" t="s">
        <v>371</v>
      </c>
      <c r="E12" s="110" t="s">
        <v>306</v>
      </c>
      <c r="G12" s="39" t="s">
        <v>307</v>
      </c>
      <c r="H12" s="7">
        <v>22</v>
      </c>
      <c r="I12" s="7">
        <v>20</v>
      </c>
      <c r="J12" s="7">
        <v>60</v>
      </c>
      <c r="K12" s="7">
        <v>37</v>
      </c>
      <c r="M12" s="18" t="s">
        <v>409</v>
      </c>
    </row>
    <row r="13" spans="1:21" x14ac:dyDescent="0.3">
      <c r="B13" s="38" t="s">
        <v>308</v>
      </c>
      <c r="C13" s="7">
        <v>175</v>
      </c>
      <c r="D13" t="s">
        <v>309</v>
      </c>
      <c r="E13" s="110" t="s">
        <v>310</v>
      </c>
      <c r="G13" s="39" t="s">
        <v>311</v>
      </c>
      <c r="H13" s="7">
        <v>165</v>
      </c>
      <c r="I13" s="7">
        <v>180</v>
      </c>
      <c r="J13" s="7">
        <v>175</v>
      </c>
      <c r="K13" s="7">
        <v>160</v>
      </c>
      <c r="L13" t="s">
        <v>309</v>
      </c>
      <c r="M13" s="18" t="s">
        <v>410</v>
      </c>
    </row>
    <row r="14" spans="1:21" ht="15.6" x14ac:dyDescent="0.35">
      <c r="B14" s="38" t="s">
        <v>312</v>
      </c>
      <c r="C14" s="7">
        <v>80</v>
      </c>
      <c r="D14" t="s">
        <v>313</v>
      </c>
      <c r="E14" s="110" t="s">
        <v>314</v>
      </c>
      <c r="G14" s="39" t="s">
        <v>315</v>
      </c>
      <c r="H14" s="7">
        <v>48</v>
      </c>
      <c r="I14" s="7">
        <v>70</v>
      </c>
      <c r="J14" s="7">
        <v>90</v>
      </c>
      <c r="K14" s="7">
        <v>78</v>
      </c>
      <c r="L14" t="s">
        <v>313</v>
      </c>
      <c r="M14" s="18" t="s">
        <v>411</v>
      </c>
    </row>
    <row r="15" spans="1:21" x14ac:dyDescent="0.3">
      <c r="M15" s="18" t="s">
        <v>412</v>
      </c>
    </row>
    <row r="16" spans="1:21" x14ac:dyDescent="0.3">
      <c r="C16" s="21" t="s">
        <v>317</v>
      </c>
      <c r="G16" s="179" t="s">
        <v>401</v>
      </c>
      <c r="H16" s="179"/>
      <c r="I16" s="179"/>
      <c r="J16" s="179"/>
      <c r="K16" s="179"/>
      <c r="M16" s="18" t="s">
        <v>413</v>
      </c>
    </row>
    <row r="17" spans="1:34" ht="15.6" x14ac:dyDescent="0.35">
      <c r="B17" s="38" t="s">
        <v>318</v>
      </c>
      <c r="C17" s="7">
        <f>(IF(sugu="naine",(3*pikkus__l-450+vanus__t)*0.225+40.5,(3*pikkus__l-450+vanus__t)*0.25+45))</f>
        <v>77.25</v>
      </c>
      <c r="D17" t="s">
        <v>313</v>
      </c>
      <c r="G17" s="39" t="s">
        <v>319</v>
      </c>
      <c r="H17" s="7">
        <v>55.6</v>
      </c>
      <c r="I17" s="7">
        <v>72.5</v>
      </c>
      <c r="J17" s="7">
        <v>78.8</v>
      </c>
      <c r="K17" s="7">
        <v>55.6</v>
      </c>
      <c r="L17" t="s">
        <v>313</v>
      </c>
      <c r="M17" s="18" t="s">
        <v>414</v>
      </c>
    </row>
    <row r="18" spans="1:34" x14ac:dyDescent="0.3">
      <c r="B18" s="38" t="s">
        <v>320</v>
      </c>
      <c r="C18" s="40">
        <f>IF((IF(sugu="naine",((kaal__m-Ideaalkaal__mid)/kaal__m)*100+22,((kaal__m-Ideaalkaal__mid)/kaal__m)*100+15))&lt;0,0,IF(sugu="naine",((kaal__m-Ideaalkaal__mid)/kaal__m)*100+22,((kaal__m-Ideaalkaal__mid)/kaal__m)*100+15))</f>
        <v>18.4375</v>
      </c>
      <c r="G18" s="39" t="s">
        <v>321</v>
      </c>
      <c r="H18" s="7">
        <v>6.2</v>
      </c>
      <c r="I18" s="7">
        <v>11.4</v>
      </c>
      <c r="J18" s="7">
        <v>27.5</v>
      </c>
      <c r="K18" s="40">
        <v>50.8</v>
      </c>
      <c r="L18" t="s">
        <v>322</v>
      </c>
    </row>
    <row r="19" spans="1:34" ht="15.6" x14ac:dyDescent="0.35">
      <c r="B19" s="38" t="s">
        <v>323</v>
      </c>
      <c r="C19" s="40">
        <f>(kaal__m/((pikkus__l/100)^2))</f>
        <v>26.122448979591837</v>
      </c>
      <c r="G19" s="39" t="s">
        <v>324</v>
      </c>
      <c r="H19" s="7">
        <v>17.600000000000001</v>
      </c>
      <c r="I19" s="7">
        <v>21.6</v>
      </c>
      <c r="J19" s="7">
        <v>29.4</v>
      </c>
      <c r="K19" s="7">
        <v>30.5</v>
      </c>
    </row>
    <row r="20" spans="1:34" ht="16.2" x14ac:dyDescent="0.3">
      <c r="B20" s="38" t="s">
        <v>325</v>
      </c>
      <c r="C20" s="40">
        <f>8.9*rasvaprotsent__r+11*(100-rasvaprotsent__r)</f>
        <v>1061.28125</v>
      </c>
      <c r="D20" t="s">
        <v>326</v>
      </c>
      <c r="G20" s="39" t="s">
        <v>327</v>
      </c>
      <c r="H20" s="7">
        <v>1086.9000000000001</v>
      </c>
      <c r="I20" s="7">
        <v>1076</v>
      </c>
      <c r="J20" s="7">
        <v>1042.3</v>
      </c>
      <c r="K20" s="7">
        <v>993.4</v>
      </c>
      <c r="L20" t="s">
        <v>326</v>
      </c>
    </row>
    <row r="21" spans="1:34" ht="16.2" x14ac:dyDescent="0.3">
      <c r="B21" s="38" t="s">
        <v>316</v>
      </c>
      <c r="C21" s="60">
        <f>(35.75-LOG(kaal__m))/53.2</f>
        <v>0.63622011302646719</v>
      </c>
      <c r="G21" s="39" t="s">
        <v>330</v>
      </c>
      <c r="H21" s="7">
        <v>1.5</v>
      </c>
      <c r="I21" s="7">
        <v>1.9</v>
      </c>
      <c r="J21" s="7">
        <v>2.1</v>
      </c>
      <c r="K21" s="7">
        <v>1.9</v>
      </c>
      <c r="L21" t="s">
        <v>329</v>
      </c>
    </row>
    <row r="22" spans="1:34" ht="16.2" x14ac:dyDescent="0.3">
      <c r="B22" s="38" t="s">
        <v>328</v>
      </c>
      <c r="C22" s="40">
        <f>(((1000*kaal__m)^y)*pikkus__l^0.3)/3118.2</f>
        <v>1.9881626605412048</v>
      </c>
      <c r="D22" t="s">
        <v>329</v>
      </c>
      <c r="G22" s="39" t="s">
        <v>333</v>
      </c>
      <c r="H22" s="7">
        <v>44.2</v>
      </c>
      <c r="I22" s="7">
        <v>65.099999999999994</v>
      </c>
      <c r="J22" s="7">
        <v>86.4</v>
      </c>
      <c r="K22" s="7">
        <v>78.5</v>
      </c>
      <c r="L22" t="s">
        <v>332</v>
      </c>
    </row>
    <row r="23" spans="1:34" ht="16.2" x14ac:dyDescent="0.3">
      <c r="B23" s="38" t="s">
        <v>331</v>
      </c>
      <c r="C23" s="40">
        <f>(1000*kaal__m)/tihedus__p</f>
        <v>75.380583610612177</v>
      </c>
      <c r="D23" t="s">
        <v>332</v>
      </c>
      <c r="G23" s="39" t="s">
        <v>335</v>
      </c>
      <c r="H23" s="7" t="s">
        <v>336</v>
      </c>
      <c r="I23" s="7" t="s">
        <v>337</v>
      </c>
      <c r="J23" s="7" t="s">
        <v>338</v>
      </c>
      <c r="K23" s="7" t="s">
        <v>339</v>
      </c>
    </row>
    <row r="24" spans="1:34" x14ac:dyDescent="0.3">
      <c r="B24" s="38" t="s">
        <v>334</v>
      </c>
      <c r="C24" s="7" t="str" cm="1">
        <f t="array" ref="C24">_xlfn.IFS(kehamassiindeks__kind&lt;18,"kõhn",AND(18&lt;=kehamassiindeks__kind,kehamassiindeks__kind&lt;=25),"normaalne",AND(25&lt;kehamassiindeks__kind,kehamassiindeks__kind&lt;=30),"ülekaalus",kehamassiindeks__kind&gt;30,"ei või olla")</f>
        <v>ülekaalus</v>
      </c>
    </row>
    <row r="25" spans="1:34" ht="46.2" customHeight="1" x14ac:dyDescent="0.3">
      <c r="A25" s="200" t="s">
        <v>340</v>
      </c>
      <c r="B25" s="201"/>
      <c r="C25" s="7" t="str">
        <f>INDEX(tabel_kmi,MATCH(pikkus__l,kõik_pikkused,1),MATCH(kaal__m,kõik_kaalud,1))</f>
        <v>ülekaalus</v>
      </c>
      <c r="D25" t="str">
        <f ca="1">_xlfn.FORMULATEXT(C25)</f>
        <v>=INDEX(tabel_kmi;MATCH(pikkus__l;kõik_pikkused;1);MATCH(kaal__m;kõik_kaalud;1))</v>
      </c>
      <c r="AG25" s="41"/>
    </row>
    <row r="27" spans="1:34" x14ac:dyDescent="0.3">
      <c r="A27" s="41"/>
      <c r="C27" s="41"/>
      <c r="E27" s="41"/>
    </row>
    <row r="28" spans="1:34" x14ac:dyDescent="0.3">
      <c r="A28" s="41"/>
      <c r="C28" s="41"/>
      <c r="E28" s="41"/>
      <c r="S28" s="194" t="s">
        <v>341</v>
      </c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</row>
    <row r="29" spans="1:34" x14ac:dyDescent="0.3">
      <c r="A29" s="41"/>
      <c r="C29" s="41"/>
      <c r="E29" s="41"/>
      <c r="R29" s="62" t="str">
        <f>sõnaline_hinnang</f>
        <v>ülekaalus</v>
      </c>
      <c r="S29" s="42">
        <v>45</v>
      </c>
      <c r="T29" s="42">
        <v>50</v>
      </c>
      <c r="U29" s="42">
        <v>55</v>
      </c>
      <c r="V29" s="42">
        <v>60</v>
      </c>
      <c r="W29" s="42">
        <v>65</v>
      </c>
      <c r="X29" s="42">
        <v>70</v>
      </c>
      <c r="Y29" s="42">
        <v>75</v>
      </c>
      <c r="Z29" s="42">
        <v>80</v>
      </c>
      <c r="AA29" s="42">
        <v>85</v>
      </c>
      <c r="AB29" s="42">
        <v>90</v>
      </c>
      <c r="AC29" s="42">
        <v>95</v>
      </c>
      <c r="AD29" s="42">
        <v>100</v>
      </c>
      <c r="AE29" s="42">
        <v>105</v>
      </c>
      <c r="AF29" s="42">
        <v>110</v>
      </c>
      <c r="AG29" s="42">
        <v>115</v>
      </c>
      <c r="AH29" s="42">
        <v>120</v>
      </c>
    </row>
    <row r="30" spans="1:34" x14ac:dyDescent="0.3">
      <c r="A30" s="41"/>
      <c r="C30" s="41"/>
      <c r="E30" s="41"/>
      <c r="R30" s="43">
        <v>150</v>
      </c>
      <c r="S30" s="7" t="str">
        <f t="dataTable" ref="S30:AH40" dt2D="1" dtr="1" r1="C14" r2="C13" ca="1"/>
        <v>normaalne</v>
      </c>
      <c r="T30" s="7" t="str">
        <v>normaalne</v>
      </c>
      <c r="U30" s="7" t="str">
        <v>normaalne</v>
      </c>
      <c r="V30" s="7" t="str">
        <v>ülekaalus</v>
      </c>
      <c r="W30" s="7" t="str">
        <v>ülekaalus</v>
      </c>
      <c r="X30" s="7" t="str">
        <v>ei või olla</v>
      </c>
      <c r="Y30" s="7" t="str">
        <v>ei või olla</v>
      </c>
      <c r="Z30" s="7" t="str">
        <v>ei või olla</v>
      </c>
      <c r="AA30" s="7" t="str">
        <v>ei või olla</v>
      </c>
      <c r="AB30" s="7" t="str">
        <v>ei või olla</v>
      </c>
      <c r="AC30" s="7" t="str">
        <v>ei või olla</v>
      </c>
      <c r="AD30" s="7" t="str">
        <v>ei või olla</v>
      </c>
      <c r="AE30" s="7" t="str">
        <v>ei või olla</v>
      </c>
      <c r="AF30" s="7" t="str">
        <v>ei või olla</v>
      </c>
      <c r="AG30" s="7" t="str">
        <v>ei või olla</v>
      </c>
      <c r="AH30" s="7" t="str">
        <v>ei või olla</v>
      </c>
    </row>
    <row r="31" spans="1:34" x14ac:dyDescent="0.3">
      <c r="A31" s="41"/>
      <c r="C31" s="41"/>
      <c r="E31" s="41"/>
      <c r="G31" s="198" t="s">
        <v>403</v>
      </c>
      <c r="H31" s="198"/>
      <c r="I31" s="198"/>
      <c r="J31" s="198"/>
      <c r="K31" s="198"/>
      <c r="L31" s="199" t="s">
        <v>402</v>
      </c>
      <c r="M31" s="199"/>
      <c r="N31" s="199"/>
      <c r="O31" s="199"/>
      <c r="P31" s="199"/>
      <c r="Q31" s="41"/>
      <c r="R31" s="43">
        <v>155</v>
      </c>
      <c r="S31" s="19" t="str">
        <v>normaalne</v>
      </c>
      <c r="T31" s="19" t="str">
        <v>normaalne</v>
      </c>
      <c r="U31" s="19" t="str">
        <v>normaalne</v>
      </c>
      <c r="V31" s="19" t="str">
        <v>normaalne</v>
      </c>
      <c r="W31" s="19" t="str">
        <v>ülekaalus</v>
      </c>
      <c r="X31" s="7" t="str">
        <v>ülekaalus</v>
      </c>
      <c r="Y31" s="7" t="str">
        <v>ei või olla</v>
      </c>
      <c r="Z31" s="7" t="str">
        <v>ei või olla</v>
      </c>
      <c r="AA31" s="7" t="str">
        <v>ei või olla</v>
      </c>
      <c r="AB31" s="7" t="str">
        <v>ei või olla</v>
      </c>
      <c r="AC31" s="7" t="str">
        <v>ei või olla</v>
      </c>
      <c r="AD31" s="7" t="str">
        <v>ei või olla</v>
      </c>
      <c r="AE31" s="7" t="str">
        <v>ei või olla</v>
      </c>
      <c r="AF31" s="7" t="str">
        <v>ei või olla</v>
      </c>
      <c r="AG31" s="7" t="str">
        <v>ei või olla</v>
      </c>
      <c r="AH31" s="7" t="str">
        <v>ei või olla</v>
      </c>
    </row>
    <row r="32" spans="1:34" x14ac:dyDescent="0.3">
      <c r="A32" s="41"/>
      <c r="C32" s="41"/>
      <c r="E32" s="41"/>
      <c r="G32" s="198"/>
      <c r="H32" s="198"/>
      <c r="I32" s="198"/>
      <c r="J32" s="198"/>
      <c r="K32" s="198"/>
      <c r="L32" s="199"/>
      <c r="M32" s="199"/>
      <c r="N32" s="199"/>
      <c r="O32" s="199"/>
      <c r="P32" s="199"/>
      <c r="R32" s="43">
        <v>160</v>
      </c>
      <c r="S32" s="7" t="str">
        <v>kõhn</v>
      </c>
      <c r="T32" s="7" t="str">
        <v>normaalne</v>
      </c>
      <c r="U32" s="7" t="str">
        <v>normaalne</v>
      </c>
      <c r="V32" s="7" t="str">
        <v>normaalne</v>
      </c>
      <c r="W32" s="7" t="str">
        <v>ülekaalus</v>
      </c>
      <c r="X32" s="7" t="str">
        <v>ülekaalus</v>
      </c>
      <c r="Y32" s="7" t="str">
        <v>ülekaalus</v>
      </c>
      <c r="Z32" s="7" t="str">
        <v>ei või olla</v>
      </c>
      <c r="AA32" s="7" t="str">
        <v>ei või olla</v>
      </c>
      <c r="AB32" s="7" t="str">
        <v>ei või olla</v>
      </c>
      <c r="AC32" s="7" t="str">
        <v>ei või olla</v>
      </c>
      <c r="AD32" s="7" t="str">
        <v>ei või olla</v>
      </c>
      <c r="AE32" s="7" t="str">
        <v>ei või olla</v>
      </c>
      <c r="AF32" s="7" t="str">
        <v>ei või olla</v>
      </c>
      <c r="AG32" s="7" t="str">
        <v>ei või olla</v>
      </c>
      <c r="AH32" s="7" t="str">
        <v>ei või olla</v>
      </c>
    </row>
    <row r="33" spans="1:34" x14ac:dyDescent="0.3">
      <c r="A33" s="41"/>
      <c r="C33" s="41"/>
      <c r="E33" s="41"/>
      <c r="G33" s="10" t="s">
        <v>342</v>
      </c>
      <c r="H33" s="11"/>
      <c r="I33" s="11"/>
      <c r="J33" s="11"/>
      <c r="K33" s="9"/>
      <c r="L33" s="10" t="s">
        <v>343</v>
      </c>
      <c r="M33" s="11"/>
      <c r="N33" s="11"/>
      <c r="O33" s="11"/>
      <c r="P33" s="9"/>
      <c r="R33" s="43">
        <v>165</v>
      </c>
      <c r="S33" s="7" t="str">
        <v>kõhn</v>
      </c>
      <c r="T33" s="7" t="str">
        <v>normaalne</v>
      </c>
      <c r="U33" s="7" t="str">
        <v>normaalne</v>
      </c>
      <c r="V33" s="7" t="str">
        <v>normaalne</v>
      </c>
      <c r="W33" s="7" t="str">
        <v>normaalne</v>
      </c>
      <c r="X33" s="7" t="str">
        <v>ülekaalus</v>
      </c>
      <c r="Y33" s="7" t="str">
        <v>ülekaalus</v>
      </c>
      <c r="Z33" s="7" t="str">
        <v>ülekaalus</v>
      </c>
      <c r="AA33" s="7" t="str">
        <v>ei või olla</v>
      </c>
      <c r="AB33" s="7" t="str">
        <v>ei või olla</v>
      </c>
      <c r="AC33" s="7" t="str">
        <v>ei või olla</v>
      </c>
      <c r="AD33" s="7" t="str">
        <v>ei või olla</v>
      </c>
      <c r="AE33" s="7" t="str">
        <v>ei või olla</v>
      </c>
      <c r="AF33" s="7" t="str">
        <v>ei või olla</v>
      </c>
      <c r="AG33" s="7" t="str">
        <v>ei või olla</v>
      </c>
      <c r="AH33" s="7" t="str">
        <v>ei või olla</v>
      </c>
    </row>
    <row r="34" spans="1:34" x14ac:dyDescent="0.3">
      <c r="A34" s="41"/>
      <c r="C34" s="41"/>
      <c r="E34" s="41"/>
      <c r="G34" s="12"/>
      <c r="K34" s="13"/>
      <c r="L34" s="12"/>
      <c r="N34" s="195" t="s">
        <v>404</v>
      </c>
      <c r="O34" s="196"/>
      <c r="P34" s="13"/>
      <c r="R34" s="43">
        <v>170</v>
      </c>
      <c r="S34" s="7" t="str">
        <v>kõhn</v>
      </c>
      <c r="T34" s="7" t="str">
        <v>kõhn</v>
      </c>
      <c r="U34" s="7" t="str">
        <v>normaalne</v>
      </c>
      <c r="V34" s="7" t="str">
        <v>normaalne</v>
      </c>
      <c r="W34" s="7" t="str">
        <v>normaalne</v>
      </c>
      <c r="X34" s="7" t="str">
        <v>normaalne</v>
      </c>
      <c r="Y34" s="7" t="str">
        <v>ülekaalus</v>
      </c>
      <c r="Z34" s="7" t="str">
        <v>ülekaalus</v>
      </c>
      <c r="AA34" s="7" t="str">
        <v>ülekaalus</v>
      </c>
      <c r="AB34" s="7" t="str">
        <v>ei või olla</v>
      </c>
      <c r="AC34" s="7" t="str">
        <v>ei või olla</v>
      </c>
      <c r="AD34" s="7" t="str">
        <v>ei või olla</v>
      </c>
      <c r="AE34" s="7" t="str">
        <v>ei või olla</v>
      </c>
      <c r="AF34" s="7" t="str">
        <v>ei või olla</v>
      </c>
      <c r="AG34" s="7" t="str">
        <v>ei või olla</v>
      </c>
      <c r="AH34" s="7" t="str">
        <v>ei või olla</v>
      </c>
    </row>
    <row r="35" spans="1:34" x14ac:dyDescent="0.3">
      <c r="A35" s="41"/>
      <c r="C35" s="41"/>
      <c r="E35" s="41"/>
      <c r="G35" s="44"/>
      <c r="H35" s="7" t="s">
        <v>344</v>
      </c>
      <c r="I35" s="45">
        <f>C23</f>
        <v>75.380583610612177</v>
      </c>
      <c r="J35" s="46" t="str">
        <f>C24</f>
        <v>ülekaalus</v>
      </c>
      <c r="K35" s="47"/>
      <c r="L35" s="12"/>
      <c r="M35" s="48">
        <f>C20</f>
        <v>1061.28125</v>
      </c>
      <c r="N35" s="49" t="s">
        <v>300</v>
      </c>
      <c r="O35" s="49" t="s">
        <v>345</v>
      </c>
      <c r="P35" s="13"/>
      <c r="R35" s="43">
        <v>175</v>
      </c>
      <c r="S35" s="7" t="str">
        <v>kõhn</v>
      </c>
      <c r="T35" s="7" t="str">
        <v>kõhn</v>
      </c>
      <c r="U35" s="7" t="str">
        <v>kõhn</v>
      </c>
      <c r="V35" s="7" t="str">
        <v>normaalne</v>
      </c>
      <c r="W35" s="7" t="str">
        <v>normaalne</v>
      </c>
      <c r="X35" s="7" t="str">
        <v>normaalne</v>
      </c>
      <c r="Y35" s="7" t="str">
        <v>normaalne</v>
      </c>
      <c r="Z35" s="7" t="str">
        <v>ülekaalus</v>
      </c>
      <c r="AA35" s="7" t="str">
        <v>ülekaalus</v>
      </c>
      <c r="AB35" s="7" t="str">
        <v>ülekaalus</v>
      </c>
      <c r="AC35" s="7" t="str">
        <v>ei või olla</v>
      </c>
      <c r="AD35" s="7" t="str">
        <v>ei või olla</v>
      </c>
      <c r="AE35" s="7" t="str">
        <v>ei või olla</v>
      </c>
      <c r="AF35" s="7" t="str">
        <v>ei või olla</v>
      </c>
      <c r="AG35" s="7" t="str">
        <v>ei või olla</v>
      </c>
      <c r="AH35" s="7" t="str">
        <v>ei või olla</v>
      </c>
    </row>
    <row r="36" spans="1:34" x14ac:dyDescent="0.3">
      <c r="A36" s="41"/>
      <c r="C36" s="41"/>
      <c r="E36" s="41"/>
      <c r="G36" s="44"/>
      <c r="H36" s="43">
        <v>150</v>
      </c>
      <c r="I36" s="61">
        <f t="dataTable" ref="I36:J46" dt2D="0" dtr="0" r1="C13" ca="1"/>
        <v>79.046501574754529</v>
      </c>
      <c r="J36" s="7" t="str">
        <v>ei või olla</v>
      </c>
      <c r="K36" s="13"/>
      <c r="L36" s="12"/>
      <c r="M36" s="43">
        <v>150</v>
      </c>
      <c r="N36" s="60">
        <f t="dataTable" ref="N36:O46" dt2D="1" dtr="1" r1="C11" r2="C13"/>
        <v>1012.0625</v>
      </c>
      <c r="O36" s="40">
        <v>982.00625000000002</v>
      </c>
      <c r="P36" s="13"/>
      <c r="R36" s="43">
        <v>180</v>
      </c>
      <c r="S36" s="7" t="str">
        <v>kõhn</v>
      </c>
      <c r="T36" s="7" t="str">
        <v>kõhn</v>
      </c>
      <c r="U36" s="7" t="str">
        <v>kõhn</v>
      </c>
      <c r="V36" s="7" t="str">
        <v>normaalne</v>
      </c>
      <c r="W36" s="7" t="str">
        <v>normaalne</v>
      </c>
      <c r="X36" s="7" t="str">
        <v>normaalne</v>
      </c>
      <c r="Y36" s="7" t="str">
        <v>normaalne</v>
      </c>
      <c r="Z36" s="7" t="str">
        <v>normaalne</v>
      </c>
      <c r="AA36" s="7" t="str">
        <v>ülekaalus</v>
      </c>
      <c r="AB36" s="7" t="str">
        <v>ülekaalus</v>
      </c>
      <c r="AC36" s="7" t="str">
        <v>ülekaalus</v>
      </c>
      <c r="AD36" s="7" t="str">
        <v>ei või olla</v>
      </c>
      <c r="AE36" s="7" t="str">
        <v>ei või olla</v>
      </c>
      <c r="AF36" s="7" t="str">
        <v>ei või olla</v>
      </c>
      <c r="AG36" s="7" t="str">
        <v>ei või olla</v>
      </c>
      <c r="AH36" s="7" t="str">
        <v>ei või olla</v>
      </c>
    </row>
    <row r="37" spans="1:34" x14ac:dyDescent="0.3">
      <c r="A37" s="41"/>
      <c r="C37" s="41"/>
      <c r="G37" s="44"/>
      <c r="H37" s="43">
        <v>155</v>
      </c>
      <c r="I37" s="60">
        <v>78.285067734931658</v>
      </c>
      <c r="J37" s="7" t="str">
        <v>ei või olla</v>
      </c>
      <c r="K37" s="13"/>
      <c r="L37" s="12"/>
      <c r="M37" s="43">
        <v>155</v>
      </c>
      <c r="N37" s="60">
        <v>1021.90625</v>
      </c>
      <c r="O37" s="40">
        <v>990.86562500000002</v>
      </c>
      <c r="P37" s="13"/>
      <c r="R37" s="43">
        <v>185</v>
      </c>
      <c r="S37" s="7" t="str">
        <v>kõhn</v>
      </c>
      <c r="T37" s="7" t="str">
        <v>kõhn</v>
      </c>
      <c r="U37" s="7" t="str">
        <v>kõhn</v>
      </c>
      <c r="V37" s="7" t="str">
        <v>kõhn</v>
      </c>
      <c r="W37" s="7" t="str">
        <v>normaalne</v>
      </c>
      <c r="X37" s="7" t="str">
        <v>normaalne</v>
      </c>
      <c r="Y37" s="7" t="str">
        <v>normaalne</v>
      </c>
      <c r="Z37" s="7" t="str">
        <v>normaalne</v>
      </c>
      <c r="AA37" s="7" t="str">
        <v>normaalne</v>
      </c>
      <c r="AB37" s="7" t="str">
        <v>ülekaalus</v>
      </c>
      <c r="AC37" s="7" t="str">
        <v>ülekaalus</v>
      </c>
      <c r="AD37" s="7" t="str">
        <v>ülekaalus</v>
      </c>
      <c r="AE37" s="7" t="str">
        <v>ei või olla</v>
      </c>
      <c r="AF37" s="7" t="str">
        <v>ei või olla</v>
      </c>
      <c r="AG37" s="7" t="str">
        <v>ei või olla</v>
      </c>
      <c r="AH37" s="7" t="str">
        <v>ei või olla</v>
      </c>
    </row>
    <row r="38" spans="1:34" x14ac:dyDescent="0.3">
      <c r="A38" s="41"/>
      <c r="C38" s="41"/>
      <c r="G38" s="44"/>
      <c r="H38" s="43">
        <v>160</v>
      </c>
      <c r="I38" s="60">
        <v>77.538163314756488</v>
      </c>
      <c r="J38" s="7" t="str">
        <v>ei või olla</v>
      </c>
      <c r="K38" s="13"/>
      <c r="L38" s="12"/>
      <c r="M38" s="43">
        <v>160</v>
      </c>
      <c r="N38" s="60">
        <v>1031.75</v>
      </c>
      <c r="O38" s="40">
        <v>999.72500000000002</v>
      </c>
      <c r="P38" s="13"/>
      <c r="R38" s="43">
        <v>190</v>
      </c>
      <c r="S38" s="7" t="str">
        <v>kõhn</v>
      </c>
      <c r="T38" s="7" t="str">
        <v>kõhn</v>
      </c>
      <c r="U38" s="7" t="str">
        <v>kõhn</v>
      </c>
      <c r="V38" s="7" t="str">
        <v>kõhn</v>
      </c>
      <c r="W38" s="7" t="str">
        <v>normaalne</v>
      </c>
      <c r="X38" s="7" t="str">
        <v>normaalne</v>
      </c>
      <c r="Y38" s="7" t="str">
        <v>normaalne</v>
      </c>
      <c r="Z38" s="7" t="str">
        <v>normaalne</v>
      </c>
      <c r="AA38" s="7" t="str">
        <v>normaalne</v>
      </c>
      <c r="AB38" s="7" t="str">
        <v>normaalne</v>
      </c>
      <c r="AC38" s="7" t="str">
        <v>ülekaalus</v>
      </c>
      <c r="AD38" s="7" t="str">
        <v>ülekaalus</v>
      </c>
      <c r="AE38" s="7" t="str">
        <v>ülekaalus</v>
      </c>
      <c r="AF38" s="7" t="str">
        <v>ei või olla</v>
      </c>
      <c r="AG38" s="7" t="str">
        <v>ei või olla</v>
      </c>
      <c r="AH38" s="7" t="str">
        <v>ei või olla</v>
      </c>
    </row>
    <row r="39" spans="1:34" x14ac:dyDescent="0.3">
      <c r="A39" s="41"/>
      <c r="G39" s="44"/>
      <c r="H39" s="43">
        <v>165</v>
      </c>
      <c r="I39" s="60">
        <v>76.805376376346345</v>
      </c>
      <c r="J39" s="7" t="str">
        <v>ülekaalus</v>
      </c>
      <c r="K39" s="13"/>
      <c r="L39" s="12"/>
      <c r="M39" s="43">
        <v>165</v>
      </c>
      <c r="N39" s="60">
        <v>1041.59375</v>
      </c>
      <c r="O39" s="40">
        <v>1008.5843750000001</v>
      </c>
      <c r="P39" s="13"/>
      <c r="R39" s="43">
        <v>195</v>
      </c>
      <c r="S39" s="7" t="str">
        <v>kõhn</v>
      </c>
      <c r="T39" s="7" t="str">
        <v>kõhn</v>
      </c>
      <c r="U39" s="7" t="str">
        <v>kõhn</v>
      </c>
      <c r="V39" s="7" t="str">
        <v>kõhn</v>
      </c>
      <c r="W39" s="7" t="str">
        <v>kõhn</v>
      </c>
      <c r="X39" s="7" t="str">
        <v>normaalne</v>
      </c>
      <c r="Y39" s="7" t="str">
        <v>normaalne</v>
      </c>
      <c r="Z39" s="7" t="str">
        <v>normaalne</v>
      </c>
      <c r="AA39" s="7" t="str">
        <v>normaalne</v>
      </c>
      <c r="AB39" s="7" t="str">
        <v>normaalne</v>
      </c>
      <c r="AC39" s="7" t="str">
        <v>normaalne</v>
      </c>
      <c r="AD39" s="7" t="str">
        <v>ülekaalus</v>
      </c>
      <c r="AE39" s="7" t="str">
        <v>ülekaalus</v>
      </c>
      <c r="AF39" s="7" t="str">
        <v>ülekaalus</v>
      </c>
      <c r="AG39" s="7" t="str">
        <v>ei või olla</v>
      </c>
      <c r="AH39" s="7" t="str">
        <v>ei või olla</v>
      </c>
    </row>
    <row r="40" spans="1:34" x14ac:dyDescent="0.3">
      <c r="A40" s="41"/>
      <c r="G40" s="44"/>
      <c r="H40" s="43">
        <v>170</v>
      </c>
      <c r="I40" s="60">
        <v>76.086310408369499</v>
      </c>
      <c r="J40" s="7" t="str">
        <v>ülekaalus</v>
      </c>
      <c r="K40" s="13"/>
      <c r="L40" s="12"/>
      <c r="M40" s="43">
        <v>170</v>
      </c>
      <c r="N40" s="60">
        <v>1051.4375</v>
      </c>
      <c r="O40" s="40">
        <v>1017.4437500000001</v>
      </c>
      <c r="P40" s="13"/>
      <c r="R40" s="43">
        <v>200</v>
      </c>
      <c r="S40" s="7" t="str">
        <v>kõhn</v>
      </c>
      <c r="T40" s="7" t="str">
        <v>kõhn</v>
      </c>
      <c r="U40" s="7" t="str">
        <v>kõhn</v>
      </c>
      <c r="V40" s="7" t="str">
        <v>kõhn</v>
      </c>
      <c r="W40" s="7" t="str">
        <v>kõhn</v>
      </c>
      <c r="X40" s="7" t="str">
        <v>kõhn</v>
      </c>
      <c r="Y40" s="7" t="str">
        <v>normaalne</v>
      </c>
      <c r="Z40" s="7" t="str">
        <v>normaalne</v>
      </c>
      <c r="AA40" s="7" t="str">
        <v>normaalne</v>
      </c>
      <c r="AB40" s="7" t="str">
        <v>normaalne</v>
      </c>
      <c r="AC40" s="7" t="str">
        <v>normaalne</v>
      </c>
      <c r="AD40" s="7" t="str">
        <v>normaalne</v>
      </c>
      <c r="AE40" s="7" t="str">
        <v>ülekaalus</v>
      </c>
      <c r="AF40" s="7" t="str">
        <v>ülekaalus</v>
      </c>
      <c r="AG40" s="7" t="str">
        <v>ülekaalus</v>
      </c>
      <c r="AH40" s="7" t="str">
        <v>ülekaalus</v>
      </c>
    </row>
    <row r="41" spans="1:34" x14ac:dyDescent="0.3">
      <c r="A41" s="41"/>
      <c r="G41" s="44"/>
      <c r="H41" s="43">
        <v>175</v>
      </c>
      <c r="I41" s="60">
        <v>75.380583610612177</v>
      </c>
      <c r="J41" s="7" t="str">
        <v>ülekaalus</v>
      </c>
      <c r="K41" s="13"/>
      <c r="L41" s="12"/>
      <c r="M41" s="43">
        <v>175</v>
      </c>
      <c r="N41" s="60">
        <v>1061.28125</v>
      </c>
      <c r="O41" s="40">
        <v>1026.3031249999999</v>
      </c>
      <c r="P41" s="13"/>
      <c r="R41" s="41"/>
    </row>
    <row r="42" spans="1:34" x14ac:dyDescent="0.3">
      <c r="A42" s="41"/>
      <c r="G42" s="44"/>
      <c r="H42" s="43">
        <v>180</v>
      </c>
      <c r="I42" s="60">
        <v>74.687828217995104</v>
      </c>
      <c r="J42" s="7" t="str">
        <v>normaalne</v>
      </c>
      <c r="K42" s="13"/>
      <c r="L42" s="12"/>
      <c r="M42" s="43">
        <v>180</v>
      </c>
      <c r="N42" s="60">
        <v>1071.125</v>
      </c>
      <c r="O42" s="40">
        <v>1035.1624999999999</v>
      </c>
      <c r="P42" s="13"/>
    </row>
    <row r="43" spans="1:34" x14ac:dyDescent="0.3">
      <c r="A43" s="41"/>
      <c r="G43" s="12"/>
      <c r="H43" s="43">
        <v>185</v>
      </c>
      <c r="I43" s="60">
        <v>74.007689861524668</v>
      </c>
      <c r="J43" s="7" t="str">
        <v>normaalne</v>
      </c>
      <c r="K43" s="13"/>
      <c r="L43" s="12"/>
      <c r="M43" s="43">
        <v>185</v>
      </c>
      <c r="N43" s="60">
        <v>1080.96875</v>
      </c>
      <c r="O43" s="40">
        <v>1044.0218749999999</v>
      </c>
      <c r="P43" s="13"/>
    </row>
    <row r="44" spans="1:34" x14ac:dyDescent="0.3">
      <c r="G44" s="12"/>
      <c r="H44" s="43">
        <v>190</v>
      </c>
      <c r="I44" s="60">
        <v>73.339826963845752</v>
      </c>
      <c r="J44" s="7" t="str">
        <v>normaalne</v>
      </c>
      <c r="K44" s="13"/>
      <c r="L44" s="12"/>
      <c r="M44" s="43">
        <v>190</v>
      </c>
      <c r="N44" s="60">
        <v>1090.8125</v>
      </c>
      <c r="O44" s="40">
        <v>1052.8812499999999</v>
      </c>
      <c r="P44" s="13"/>
    </row>
    <row r="45" spans="1:34" x14ac:dyDescent="0.3">
      <c r="G45" s="12"/>
      <c r="H45" s="43">
        <v>195</v>
      </c>
      <c r="I45" s="60">
        <v>72.727272727272734</v>
      </c>
      <c r="J45" s="7" t="str">
        <v>normaalne</v>
      </c>
      <c r="K45" s="13"/>
      <c r="L45" s="12"/>
      <c r="M45" s="43">
        <v>195</v>
      </c>
      <c r="N45" s="60">
        <v>1100</v>
      </c>
      <c r="O45" s="40">
        <v>1061.7406249999999</v>
      </c>
      <c r="P45" s="13"/>
    </row>
    <row r="46" spans="1:34" x14ac:dyDescent="0.3">
      <c r="G46" s="12"/>
      <c r="H46" s="43">
        <v>200</v>
      </c>
      <c r="I46" s="60">
        <v>72.727272727272734</v>
      </c>
      <c r="J46" s="7" t="str">
        <v>normaalne</v>
      </c>
      <c r="K46" s="13"/>
      <c r="L46" s="12"/>
      <c r="M46" s="43">
        <v>200</v>
      </c>
      <c r="N46" s="60">
        <v>1100</v>
      </c>
      <c r="O46" s="40">
        <v>1070.5999999999999</v>
      </c>
      <c r="P46" s="13"/>
    </row>
    <row r="47" spans="1:34" x14ac:dyDescent="0.3">
      <c r="G47" s="4"/>
      <c r="H47" s="14"/>
      <c r="I47" s="14"/>
      <c r="J47" s="14"/>
      <c r="K47" s="2"/>
      <c r="L47" s="4"/>
      <c r="M47" s="14"/>
      <c r="N47" s="14"/>
      <c r="O47" s="14"/>
      <c r="P47" s="2"/>
    </row>
  </sheetData>
  <mergeCells count="11">
    <mergeCell ref="S28:AH28"/>
    <mergeCell ref="N34:O34"/>
    <mergeCell ref="N8:U8"/>
    <mergeCell ref="A3:B3"/>
    <mergeCell ref="A4:B4"/>
    <mergeCell ref="G10:K10"/>
    <mergeCell ref="G16:K16"/>
    <mergeCell ref="G31:K32"/>
    <mergeCell ref="L31:P32"/>
    <mergeCell ref="A25:B25"/>
    <mergeCell ref="D1:L4"/>
  </mergeCells>
  <phoneticPr fontId="28" type="noConversion"/>
  <dataValidations count="4">
    <dataValidation type="decimal" allowBlank="1" showInputMessage="1" showErrorMessage="1" errorTitle="viga" error="peab olema vahemikus 45 kuni 120!" prompt="45...120" sqref="C14" xr:uid="{5DF99A0C-C787-42B2-89B0-417E75C86699}">
      <formula1>45</formula1>
      <formula2>120</formula2>
    </dataValidation>
    <dataValidation type="decimal" allowBlank="1" showInputMessage="1" showErrorMessage="1" errorTitle="viga" error="peab olema vahemikus 150 kuni 200!" prompt="150...200" sqref="C13" xr:uid="{24DA808D-3989-449C-B51B-904D1377A2FB}">
      <formula1>150</formula1>
      <formula2>200</formula2>
    </dataValidation>
    <dataValidation type="whole" allowBlank="1" showInputMessage="1" showErrorMessage="1" errorTitle="ei sobi" error="saab olla vaid täisarv vahemikus 17 kuni 100" prompt="täisarv 17...100" sqref="C12" xr:uid="{850F1549-33BA-457E-BE08-856C9F9B70BB}">
      <formula1>17</formula1>
      <formula2>100</formula2>
    </dataValidation>
    <dataValidation type="list" allowBlank="1" showInputMessage="1" showErrorMessage="1" errorTitle="ei sobi" error="võib olla vaid mees või naine" prompt="mees/naine" sqref="C11" xr:uid="{AFF32751-D7C1-49B6-BA49-BFE14D5873AF}">
      <formula1>"mees,naine"</formula1>
    </dataValidation>
  </dataValidations>
  <hyperlinks>
    <hyperlink ref="A4" location="Ideaal!C20:C23" display="Ideaal!C20:C23" xr:uid="{0EE55AFC-08FA-4D72-B789-ABB3D6CDC345}"/>
    <hyperlink ref="A4:B4" location="lähteandmed" display="lähteandmed" xr:uid="{6709D856-A3D8-4AC3-969C-27DCA3A49E5D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BD9B-E5E4-4137-AF10-88B94930C07B}">
  <sheetPr>
    <tabColor theme="0" tint="-0.249977111117893"/>
  </sheetPr>
  <dimension ref="A1:E100"/>
  <sheetViews>
    <sheetView topLeftCell="A14" zoomScale="87" workbookViewId="0">
      <selection activeCell="H9" sqref="H9"/>
    </sheetView>
  </sheetViews>
  <sheetFormatPr defaultRowHeight="14.4" x14ac:dyDescent="0.3"/>
  <cols>
    <col min="1" max="1" width="17.33203125" bestFit="1" customWidth="1"/>
    <col min="2" max="2" width="17.109375" customWidth="1"/>
    <col min="3" max="3" width="14" customWidth="1"/>
    <col min="4" max="4" width="17.109375" customWidth="1"/>
    <col min="5" max="5" width="9.44140625" customWidth="1"/>
  </cols>
  <sheetData>
    <row r="1" spans="1:5" ht="15.6" x14ac:dyDescent="0.3">
      <c r="A1" s="15" t="s">
        <v>10</v>
      </c>
      <c r="B1" s="16" t="s">
        <v>11</v>
      </c>
      <c r="C1" s="16" t="s">
        <v>12</v>
      </c>
      <c r="D1" s="16" t="s">
        <v>13</v>
      </c>
      <c r="E1" s="17" t="s">
        <v>14</v>
      </c>
    </row>
    <row r="2" spans="1:5" x14ac:dyDescent="0.3">
      <c r="A2" s="7" t="s">
        <v>6</v>
      </c>
      <c r="B2" s="18" t="s">
        <v>15</v>
      </c>
      <c r="C2" s="19" t="s">
        <v>16</v>
      </c>
      <c r="D2" s="19" t="s">
        <v>17</v>
      </c>
      <c r="E2" s="7">
        <v>1160</v>
      </c>
    </row>
    <row r="3" spans="1:5" x14ac:dyDescent="0.3">
      <c r="A3" s="7" t="s">
        <v>18</v>
      </c>
      <c r="B3" s="18" t="s">
        <v>19</v>
      </c>
      <c r="C3" s="20" t="s">
        <v>20</v>
      </c>
      <c r="D3" s="20" t="s">
        <v>21</v>
      </c>
      <c r="E3" s="7">
        <v>960</v>
      </c>
    </row>
    <row r="4" spans="1:5" x14ac:dyDescent="0.3">
      <c r="A4" s="7" t="s">
        <v>4</v>
      </c>
      <c r="B4" s="18" t="s">
        <v>22</v>
      </c>
      <c r="C4" s="19" t="s">
        <v>16</v>
      </c>
      <c r="D4" s="19" t="s">
        <v>17</v>
      </c>
      <c r="E4" s="7">
        <v>1380</v>
      </c>
    </row>
    <row r="5" spans="1:5" x14ac:dyDescent="0.3">
      <c r="A5" s="7" t="s">
        <v>23</v>
      </c>
      <c r="B5" s="18" t="s">
        <v>24</v>
      </c>
      <c r="C5" s="20" t="s">
        <v>16</v>
      </c>
      <c r="D5" s="20" t="s">
        <v>25</v>
      </c>
      <c r="E5" s="7">
        <v>1840</v>
      </c>
    </row>
    <row r="6" spans="1:5" x14ac:dyDescent="0.3">
      <c r="A6" s="7" t="s">
        <v>26</v>
      </c>
      <c r="B6" s="18" t="s">
        <v>27</v>
      </c>
      <c r="C6" s="20" t="s">
        <v>20</v>
      </c>
      <c r="D6" s="20" t="s">
        <v>21</v>
      </c>
      <c r="E6" s="7">
        <v>2540</v>
      </c>
    </row>
    <row r="7" spans="1:5" x14ac:dyDescent="0.3">
      <c r="A7" s="7" t="s">
        <v>28</v>
      </c>
      <c r="B7" s="18" t="s">
        <v>29</v>
      </c>
      <c r="C7" s="20" t="s">
        <v>30</v>
      </c>
      <c r="D7" s="20" t="s">
        <v>31</v>
      </c>
      <c r="E7" s="7">
        <v>900</v>
      </c>
    </row>
    <row r="8" spans="1:5" x14ac:dyDescent="0.3">
      <c r="A8" s="7" t="s">
        <v>5</v>
      </c>
      <c r="B8" s="18" t="s">
        <v>32</v>
      </c>
      <c r="C8" s="19" t="s">
        <v>16</v>
      </c>
      <c r="D8" s="19" t="s">
        <v>33</v>
      </c>
      <c r="E8" s="7">
        <v>1360</v>
      </c>
    </row>
    <row r="9" spans="1:5" x14ac:dyDescent="0.3">
      <c r="A9" s="7" t="s">
        <v>7</v>
      </c>
      <c r="B9" s="18" t="s">
        <v>34</v>
      </c>
      <c r="C9" s="20" t="s">
        <v>16</v>
      </c>
      <c r="D9" s="20" t="s">
        <v>35</v>
      </c>
      <c r="E9" s="7">
        <v>4360</v>
      </c>
    </row>
    <row r="10" spans="1:5" x14ac:dyDescent="0.3">
      <c r="A10" s="7" t="s">
        <v>36</v>
      </c>
      <c r="B10" s="18" t="s">
        <v>37</v>
      </c>
      <c r="C10" s="20" t="s">
        <v>16</v>
      </c>
      <c r="D10" s="20" t="s">
        <v>17</v>
      </c>
      <c r="E10" s="7">
        <v>1280</v>
      </c>
    </row>
    <row r="11" spans="1:5" x14ac:dyDescent="0.3">
      <c r="A11" s="7" t="s">
        <v>38</v>
      </c>
      <c r="B11" s="18" t="s">
        <v>39</v>
      </c>
      <c r="C11" s="20" t="s">
        <v>40</v>
      </c>
      <c r="D11" s="20" t="s">
        <v>35</v>
      </c>
      <c r="E11" s="7">
        <v>3020</v>
      </c>
    </row>
    <row r="12" spans="1:5" x14ac:dyDescent="0.3">
      <c r="A12" s="7" t="s">
        <v>8</v>
      </c>
      <c r="B12" s="18" t="s">
        <v>41</v>
      </c>
      <c r="C12" s="20" t="s">
        <v>16</v>
      </c>
      <c r="D12" s="20" t="s">
        <v>17</v>
      </c>
      <c r="E12" s="7">
        <v>1440</v>
      </c>
    </row>
    <row r="13" spans="1:5" x14ac:dyDescent="0.3">
      <c r="A13" s="7" t="s">
        <v>42</v>
      </c>
      <c r="B13" s="18" t="s">
        <v>43</v>
      </c>
      <c r="C13" s="20" t="s">
        <v>44</v>
      </c>
      <c r="D13" s="20" t="s">
        <v>45</v>
      </c>
      <c r="E13" s="7">
        <v>1140</v>
      </c>
    </row>
    <row r="14" spans="1:5" x14ac:dyDescent="0.3">
      <c r="A14" s="7" t="s">
        <v>46</v>
      </c>
      <c r="B14" s="18" t="s">
        <v>47</v>
      </c>
      <c r="C14" s="20" t="s">
        <v>40</v>
      </c>
      <c r="D14" s="20" t="s">
        <v>17</v>
      </c>
      <c r="E14" s="7">
        <v>1020</v>
      </c>
    </row>
    <row r="15" spans="1:5" x14ac:dyDescent="0.3">
      <c r="A15" s="7" t="s">
        <v>48</v>
      </c>
      <c r="B15" s="18" t="s">
        <v>49</v>
      </c>
      <c r="C15" s="20" t="s">
        <v>16</v>
      </c>
      <c r="D15" s="20" t="s">
        <v>17</v>
      </c>
      <c r="E15" s="7">
        <v>1950</v>
      </c>
    </row>
    <row r="16" spans="1:5" x14ac:dyDescent="0.3">
      <c r="A16" s="7" t="s">
        <v>50</v>
      </c>
      <c r="B16" s="18" t="s">
        <v>51</v>
      </c>
      <c r="C16" s="20" t="s">
        <v>40</v>
      </c>
      <c r="D16" s="20" t="s">
        <v>17</v>
      </c>
      <c r="E16" s="7">
        <v>1280</v>
      </c>
    </row>
    <row r="17" spans="1:5" x14ac:dyDescent="0.3">
      <c r="A17" s="7" t="s">
        <v>52</v>
      </c>
      <c r="B17" s="18" t="s">
        <v>53</v>
      </c>
      <c r="C17" s="20" t="s">
        <v>20</v>
      </c>
      <c r="D17" s="20" t="s">
        <v>21</v>
      </c>
      <c r="E17" s="7">
        <v>860</v>
      </c>
    </row>
    <row r="18" spans="1:5" x14ac:dyDescent="0.3">
      <c r="A18" s="7" t="s">
        <v>54</v>
      </c>
      <c r="B18" s="18" t="s">
        <v>55</v>
      </c>
      <c r="C18" s="20" t="s">
        <v>16</v>
      </c>
      <c r="D18" s="20" t="s">
        <v>25</v>
      </c>
      <c r="E18" s="7">
        <v>1900</v>
      </c>
    </row>
    <row r="19" spans="1:5" x14ac:dyDescent="0.3">
      <c r="A19" s="7" t="s">
        <v>56</v>
      </c>
      <c r="B19" s="18" t="s">
        <v>57</v>
      </c>
      <c r="C19" s="20" t="s">
        <v>58</v>
      </c>
      <c r="D19" s="20" t="s">
        <v>59</v>
      </c>
      <c r="E19" s="7">
        <v>1700</v>
      </c>
    </row>
    <row r="20" spans="1:5" x14ac:dyDescent="0.3">
      <c r="A20" s="7" t="s">
        <v>60</v>
      </c>
      <c r="B20" s="18" t="s">
        <v>61</v>
      </c>
      <c r="C20" s="20" t="s">
        <v>40</v>
      </c>
      <c r="D20" s="20" t="s">
        <v>62</v>
      </c>
      <c r="E20" s="7">
        <v>1380</v>
      </c>
    </row>
    <row r="21" spans="1:5" x14ac:dyDescent="0.3">
      <c r="A21" s="7" t="s">
        <v>63</v>
      </c>
      <c r="B21" s="18" t="s">
        <v>64</v>
      </c>
      <c r="C21" s="20" t="s">
        <v>40</v>
      </c>
      <c r="D21" s="20" t="s">
        <v>65</v>
      </c>
      <c r="E21" s="7">
        <v>1320</v>
      </c>
    </row>
    <row r="22" spans="1:5" x14ac:dyDescent="0.3">
      <c r="A22" s="7" t="s">
        <v>66</v>
      </c>
      <c r="B22" s="18" t="s">
        <v>67</v>
      </c>
      <c r="C22" s="20" t="s">
        <v>16</v>
      </c>
      <c r="D22" s="20" t="s">
        <v>17</v>
      </c>
      <c r="E22" s="7">
        <v>1540</v>
      </c>
    </row>
    <row r="23" spans="1:5" x14ac:dyDescent="0.3">
      <c r="A23" s="7" t="s">
        <v>68</v>
      </c>
      <c r="B23" s="18" t="s">
        <v>69</v>
      </c>
      <c r="C23" s="20" t="s">
        <v>30</v>
      </c>
      <c r="D23" s="20" t="s">
        <v>70</v>
      </c>
      <c r="E23" s="7">
        <v>1460</v>
      </c>
    </row>
    <row r="24" spans="1:5" x14ac:dyDescent="0.3">
      <c r="A24" s="7" t="s">
        <v>71</v>
      </c>
      <c r="B24" s="18" t="s">
        <v>72</v>
      </c>
      <c r="C24" s="20" t="s">
        <v>30</v>
      </c>
      <c r="D24" s="20" t="s">
        <v>70</v>
      </c>
      <c r="E24" s="7">
        <v>1400</v>
      </c>
    </row>
    <row r="25" spans="1:5" x14ac:dyDescent="0.3">
      <c r="A25" s="7" t="s">
        <v>73</v>
      </c>
      <c r="B25" s="18" t="s">
        <v>74</v>
      </c>
      <c r="C25" s="20" t="s">
        <v>16</v>
      </c>
      <c r="D25" s="20" t="s">
        <v>17</v>
      </c>
      <c r="E25" s="7">
        <v>1420</v>
      </c>
    </row>
    <row r="26" spans="1:5" x14ac:dyDescent="0.3">
      <c r="A26" s="7" t="s">
        <v>75</v>
      </c>
      <c r="B26" s="18" t="s">
        <v>76</v>
      </c>
      <c r="C26" s="20" t="s">
        <v>16</v>
      </c>
      <c r="D26" s="20" t="s">
        <v>77</v>
      </c>
      <c r="E26" s="7">
        <v>1540</v>
      </c>
    </row>
    <row r="27" spans="1:5" x14ac:dyDescent="0.3">
      <c r="A27" s="7" t="s">
        <v>78</v>
      </c>
      <c r="B27" s="18" t="s">
        <v>79</v>
      </c>
      <c r="C27" s="20" t="s">
        <v>16</v>
      </c>
      <c r="D27" s="20" t="s">
        <v>17</v>
      </c>
      <c r="E27" s="7">
        <v>1020</v>
      </c>
    </row>
    <row r="28" spans="1:5" x14ac:dyDescent="0.3">
      <c r="A28" s="7" t="s">
        <v>80</v>
      </c>
      <c r="B28" s="18" t="s">
        <v>81</v>
      </c>
      <c r="C28" s="20" t="s">
        <v>82</v>
      </c>
      <c r="D28" s="20" t="s">
        <v>45</v>
      </c>
      <c r="E28" s="7">
        <v>1140</v>
      </c>
    </row>
    <row r="29" spans="1:5" x14ac:dyDescent="0.3">
      <c r="A29" s="7" t="s">
        <v>83</v>
      </c>
      <c r="B29" s="18" t="s">
        <v>84</v>
      </c>
      <c r="C29" s="20" t="s">
        <v>16</v>
      </c>
      <c r="D29" s="20" t="s">
        <v>17</v>
      </c>
      <c r="E29" s="7">
        <v>1160</v>
      </c>
    </row>
    <row r="30" spans="1:5" x14ac:dyDescent="0.3">
      <c r="A30" s="7" t="s">
        <v>85</v>
      </c>
      <c r="B30" s="18" t="s">
        <v>86</v>
      </c>
      <c r="C30" s="20" t="s">
        <v>16</v>
      </c>
      <c r="D30" s="20" t="s">
        <v>17</v>
      </c>
      <c r="E30" s="7">
        <v>1400</v>
      </c>
    </row>
    <row r="31" spans="1:5" x14ac:dyDescent="0.3">
      <c r="A31" s="7" t="s">
        <v>87</v>
      </c>
      <c r="B31" s="18" t="s">
        <v>88</v>
      </c>
      <c r="C31" s="20" t="s">
        <v>30</v>
      </c>
      <c r="D31" s="20" t="s">
        <v>70</v>
      </c>
      <c r="E31" s="7">
        <v>1260</v>
      </c>
    </row>
    <row r="32" spans="1:5" x14ac:dyDescent="0.3">
      <c r="A32" s="7" t="s">
        <v>89</v>
      </c>
      <c r="B32" s="18" t="s">
        <v>90</v>
      </c>
      <c r="C32" s="20" t="s">
        <v>58</v>
      </c>
      <c r="D32" s="20" t="s">
        <v>91</v>
      </c>
      <c r="E32" s="7">
        <v>3020</v>
      </c>
    </row>
    <row r="33" spans="1:5" x14ac:dyDescent="0.3">
      <c r="A33" s="7" t="s">
        <v>92</v>
      </c>
      <c r="B33" s="18" t="s">
        <v>93</v>
      </c>
      <c r="C33" s="20" t="s">
        <v>40</v>
      </c>
      <c r="D33" s="20" t="s">
        <v>62</v>
      </c>
      <c r="E33" s="7">
        <v>1540</v>
      </c>
    </row>
    <row r="34" spans="1:5" x14ac:dyDescent="0.3">
      <c r="A34" s="7" t="s">
        <v>94</v>
      </c>
      <c r="B34" s="18" t="s">
        <v>95</v>
      </c>
      <c r="C34" s="20" t="s">
        <v>58</v>
      </c>
      <c r="D34" s="20" t="s">
        <v>59</v>
      </c>
      <c r="E34" s="7">
        <v>1700</v>
      </c>
    </row>
    <row r="35" spans="1:5" x14ac:dyDescent="0.3">
      <c r="A35" s="7" t="s">
        <v>96</v>
      </c>
      <c r="B35" s="18" t="s">
        <v>97</v>
      </c>
      <c r="C35" s="20" t="s">
        <v>30</v>
      </c>
      <c r="D35" s="20" t="s">
        <v>70</v>
      </c>
      <c r="E35" s="7">
        <v>1580</v>
      </c>
    </row>
    <row r="36" spans="1:5" x14ac:dyDescent="0.3">
      <c r="A36" s="7" t="s">
        <v>98</v>
      </c>
      <c r="B36" s="18" t="s">
        <v>99</v>
      </c>
      <c r="C36" s="20" t="s">
        <v>30</v>
      </c>
      <c r="D36" s="20" t="s">
        <v>65</v>
      </c>
      <c r="E36" s="7">
        <v>1260</v>
      </c>
    </row>
    <row r="37" spans="1:5" x14ac:dyDescent="0.3">
      <c r="A37" s="7" t="s">
        <v>100</v>
      </c>
      <c r="B37" s="18" t="s">
        <v>101</v>
      </c>
      <c r="C37" s="20" t="s">
        <v>16</v>
      </c>
      <c r="D37" s="20" t="s">
        <v>33</v>
      </c>
      <c r="E37" s="7">
        <v>1800</v>
      </c>
    </row>
    <row r="38" spans="1:5" x14ac:dyDescent="0.3">
      <c r="A38" s="7" t="s">
        <v>102</v>
      </c>
      <c r="B38" s="18" t="s">
        <v>103</v>
      </c>
      <c r="C38" s="20" t="s">
        <v>20</v>
      </c>
      <c r="D38" s="20" t="s">
        <v>45</v>
      </c>
      <c r="E38" s="7">
        <v>1280</v>
      </c>
    </row>
    <row r="39" spans="1:5" x14ac:dyDescent="0.3">
      <c r="A39" s="7" t="s">
        <v>104</v>
      </c>
      <c r="B39" s="18" t="s">
        <v>105</v>
      </c>
      <c r="C39" s="20" t="s">
        <v>44</v>
      </c>
      <c r="D39" s="20" t="s">
        <v>45</v>
      </c>
      <c r="E39" s="7">
        <v>1500</v>
      </c>
    </row>
    <row r="40" spans="1:5" x14ac:dyDescent="0.3">
      <c r="A40" s="7" t="s">
        <v>106</v>
      </c>
      <c r="B40" s="18" t="s">
        <v>107</v>
      </c>
      <c r="C40" s="19" t="s">
        <v>40</v>
      </c>
      <c r="D40" s="19" t="s">
        <v>17</v>
      </c>
      <c r="E40" s="7">
        <v>1000</v>
      </c>
    </row>
    <row r="41" spans="1:5" x14ac:dyDescent="0.3">
      <c r="A41" s="7" t="s">
        <v>108</v>
      </c>
      <c r="B41" s="18" t="s">
        <v>109</v>
      </c>
      <c r="C41" s="19" t="s">
        <v>16</v>
      </c>
      <c r="D41" s="19" t="s">
        <v>33</v>
      </c>
      <c r="E41" s="7">
        <v>1540</v>
      </c>
    </row>
    <row r="42" spans="1:5" x14ac:dyDescent="0.3">
      <c r="A42" s="7" t="s">
        <v>110</v>
      </c>
      <c r="B42" s="18" t="s">
        <v>111</v>
      </c>
      <c r="C42" s="20" t="s">
        <v>16</v>
      </c>
      <c r="D42" s="20" t="s">
        <v>17</v>
      </c>
      <c r="E42" s="7">
        <v>1500</v>
      </c>
    </row>
    <row r="43" spans="1:5" x14ac:dyDescent="0.3">
      <c r="A43" s="7" t="s">
        <v>112</v>
      </c>
      <c r="B43" s="18" t="s">
        <v>113</v>
      </c>
      <c r="C43" s="20" t="s">
        <v>16</v>
      </c>
      <c r="D43" s="20" t="s">
        <v>25</v>
      </c>
      <c r="E43" s="7">
        <v>1840</v>
      </c>
    </row>
    <row r="44" spans="1:5" x14ac:dyDescent="0.3">
      <c r="A44" s="7" t="s">
        <v>114</v>
      </c>
      <c r="B44" s="18" t="s">
        <v>115</v>
      </c>
      <c r="C44" s="20" t="s">
        <v>16</v>
      </c>
      <c r="D44" s="20" t="s">
        <v>17</v>
      </c>
      <c r="E44" s="7">
        <v>1300</v>
      </c>
    </row>
    <row r="45" spans="1:5" x14ac:dyDescent="0.3">
      <c r="A45" s="7" t="s">
        <v>116</v>
      </c>
      <c r="B45" s="18" t="s">
        <v>117</v>
      </c>
      <c r="C45" s="20" t="s">
        <v>58</v>
      </c>
      <c r="D45" s="20" t="s">
        <v>45</v>
      </c>
      <c r="E45" s="7">
        <v>1300</v>
      </c>
    </row>
    <row r="46" spans="1:5" x14ac:dyDescent="0.3">
      <c r="A46" s="7" t="s">
        <v>118</v>
      </c>
      <c r="B46" s="18" t="s">
        <v>119</v>
      </c>
      <c r="C46" s="20" t="s">
        <v>16</v>
      </c>
      <c r="D46" s="20" t="s">
        <v>77</v>
      </c>
      <c r="E46" s="7">
        <v>2400</v>
      </c>
    </row>
    <row r="47" spans="1:5" x14ac:dyDescent="0.3">
      <c r="A47" s="7" t="s">
        <v>120</v>
      </c>
      <c r="B47" s="18" t="s">
        <v>121</v>
      </c>
      <c r="C47" s="20" t="s">
        <v>16</v>
      </c>
      <c r="D47" s="20" t="s">
        <v>17</v>
      </c>
      <c r="E47" s="7">
        <v>1240</v>
      </c>
    </row>
    <row r="48" spans="1:5" x14ac:dyDescent="0.3">
      <c r="A48" s="7" t="s">
        <v>122</v>
      </c>
      <c r="B48" s="18" t="s">
        <v>123</v>
      </c>
      <c r="C48" s="20" t="s">
        <v>16</v>
      </c>
      <c r="D48" s="20" t="s">
        <v>17</v>
      </c>
      <c r="E48" s="7">
        <v>1160</v>
      </c>
    </row>
    <row r="49" spans="1:5" x14ac:dyDescent="0.3">
      <c r="A49" s="7" t="s">
        <v>124</v>
      </c>
      <c r="B49" s="18" t="s">
        <v>125</v>
      </c>
      <c r="C49" s="20" t="s">
        <v>30</v>
      </c>
      <c r="D49" s="20" t="s">
        <v>70</v>
      </c>
      <c r="E49" s="7">
        <v>1400</v>
      </c>
    </row>
    <row r="50" spans="1:5" x14ac:dyDescent="0.3">
      <c r="A50" s="7" t="s">
        <v>126</v>
      </c>
      <c r="B50" s="18" t="s">
        <v>127</v>
      </c>
      <c r="C50" s="20" t="s">
        <v>44</v>
      </c>
      <c r="D50" s="20" t="s">
        <v>45</v>
      </c>
      <c r="E50" s="7">
        <v>1900</v>
      </c>
    </row>
    <row r="51" spans="1:5" x14ac:dyDescent="0.3">
      <c r="A51" s="7" t="s">
        <v>128</v>
      </c>
      <c r="B51" s="18" t="s">
        <v>129</v>
      </c>
      <c r="C51" s="20" t="s">
        <v>82</v>
      </c>
      <c r="D51" s="20" t="s">
        <v>130</v>
      </c>
      <c r="E51" s="7">
        <v>2780</v>
      </c>
    </row>
    <row r="52" spans="1:5" x14ac:dyDescent="0.3">
      <c r="A52" s="7" t="s">
        <v>131</v>
      </c>
      <c r="B52" s="18" t="s">
        <v>132</v>
      </c>
      <c r="C52" s="20" t="s">
        <v>40</v>
      </c>
      <c r="D52" s="20" t="s">
        <v>17</v>
      </c>
      <c r="E52" s="7">
        <v>1420</v>
      </c>
    </row>
    <row r="53" spans="1:5" x14ac:dyDescent="0.3">
      <c r="A53" s="7" t="s">
        <v>133</v>
      </c>
      <c r="B53" s="18" t="s">
        <v>134</v>
      </c>
      <c r="C53" s="20" t="s">
        <v>30</v>
      </c>
      <c r="D53" s="20" t="s">
        <v>70</v>
      </c>
      <c r="E53" s="7">
        <v>1820</v>
      </c>
    </row>
    <row r="54" spans="1:5" x14ac:dyDescent="0.3">
      <c r="A54" s="7" t="s">
        <v>135</v>
      </c>
      <c r="B54" s="18" t="s">
        <v>136</v>
      </c>
      <c r="C54" s="20" t="s">
        <v>82</v>
      </c>
      <c r="D54" s="20" t="s">
        <v>45</v>
      </c>
      <c r="E54" s="7">
        <v>1140</v>
      </c>
    </row>
    <row r="55" spans="1:5" x14ac:dyDescent="0.3">
      <c r="A55" s="7" t="s">
        <v>137</v>
      </c>
      <c r="B55" s="18" t="s">
        <v>138</v>
      </c>
      <c r="C55" s="20" t="s">
        <v>44</v>
      </c>
      <c r="D55" s="20" t="s">
        <v>45</v>
      </c>
      <c r="E55" s="7">
        <v>1440</v>
      </c>
    </row>
    <row r="56" spans="1:5" x14ac:dyDescent="0.3">
      <c r="A56" s="7" t="s">
        <v>139</v>
      </c>
      <c r="B56" s="18" t="s">
        <v>140</v>
      </c>
      <c r="C56" s="20" t="s">
        <v>30</v>
      </c>
      <c r="D56" s="20" t="s">
        <v>70</v>
      </c>
      <c r="E56" s="7">
        <v>1420</v>
      </c>
    </row>
    <row r="57" spans="1:5" x14ac:dyDescent="0.3">
      <c r="A57" s="7" t="s">
        <v>141</v>
      </c>
      <c r="B57" s="18" t="s">
        <v>142</v>
      </c>
      <c r="C57" s="19" t="s">
        <v>58</v>
      </c>
      <c r="D57" s="19" t="s">
        <v>35</v>
      </c>
      <c r="E57" s="7">
        <v>4860</v>
      </c>
    </row>
    <row r="58" spans="1:5" x14ac:dyDescent="0.3">
      <c r="A58" s="7" t="s">
        <v>143</v>
      </c>
      <c r="B58" s="18" t="s">
        <v>144</v>
      </c>
      <c r="C58" s="20" t="s">
        <v>16</v>
      </c>
      <c r="D58" s="20" t="s">
        <v>77</v>
      </c>
      <c r="E58" s="7">
        <v>1700</v>
      </c>
    </row>
    <row r="59" spans="1:5" x14ac:dyDescent="0.3">
      <c r="A59" s="7" t="s">
        <v>145</v>
      </c>
      <c r="B59" s="18" t="s">
        <v>146</v>
      </c>
      <c r="C59" s="20" t="s">
        <v>16</v>
      </c>
      <c r="D59" s="20" t="s">
        <v>17</v>
      </c>
      <c r="E59" s="7">
        <v>1580</v>
      </c>
    </row>
    <row r="60" spans="1:5" x14ac:dyDescent="0.3">
      <c r="A60" s="7" t="s">
        <v>147</v>
      </c>
      <c r="B60" s="18" t="s">
        <v>148</v>
      </c>
      <c r="C60" s="20" t="s">
        <v>16</v>
      </c>
      <c r="D60" s="20" t="s">
        <v>33</v>
      </c>
      <c r="E60" s="7">
        <v>1580</v>
      </c>
    </row>
    <row r="61" spans="1:5" x14ac:dyDescent="0.3">
      <c r="A61" s="7" t="s">
        <v>149</v>
      </c>
      <c r="B61" s="18" t="s">
        <v>150</v>
      </c>
      <c r="C61" s="20" t="s">
        <v>16</v>
      </c>
      <c r="D61" s="20" t="s">
        <v>17</v>
      </c>
      <c r="E61" s="7">
        <v>1000</v>
      </c>
    </row>
    <row r="62" spans="1:5" x14ac:dyDescent="0.3">
      <c r="A62" s="7" t="s">
        <v>151</v>
      </c>
      <c r="B62" s="18" t="s">
        <v>152</v>
      </c>
      <c r="C62" s="20" t="s">
        <v>82</v>
      </c>
      <c r="D62" s="20" t="s">
        <v>35</v>
      </c>
      <c r="E62" s="7">
        <v>4860</v>
      </c>
    </row>
    <row r="63" spans="1:5" x14ac:dyDescent="0.3">
      <c r="A63" s="7" t="s">
        <v>153</v>
      </c>
      <c r="B63" s="18" t="s">
        <v>154</v>
      </c>
      <c r="C63" s="20" t="s">
        <v>58</v>
      </c>
      <c r="D63" s="20" t="s">
        <v>91</v>
      </c>
      <c r="E63" s="7">
        <v>3140</v>
      </c>
    </row>
    <row r="64" spans="1:5" x14ac:dyDescent="0.3">
      <c r="A64" s="7" t="s">
        <v>155</v>
      </c>
      <c r="B64" s="18" t="s">
        <v>156</v>
      </c>
      <c r="C64" s="20" t="s">
        <v>58</v>
      </c>
      <c r="D64" s="20" t="s">
        <v>59</v>
      </c>
      <c r="E64" s="7">
        <v>1420</v>
      </c>
    </row>
    <row r="65" spans="1:5" x14ac:dyDescent="0.3">
      <c r="A65" s="7" t="s">
        <v>157</v>
      </c>
      <c r="B65" s="18" t="s">
        <v>158</v>
      </c>
      <c r="C65" s="20" t="s">
        <v>16</v>
      </c>
      <c r="D65" s="20" t="s">
        <v>17</v>
      </c>
      <c r="E65" s="7">
        <v>1540</v>
      </c>
    </row>
    <row r="66" spans="1:5" x14ac:dyDescent="0.3">
      <c r="A66" s="7" t="s">
        <v>159</v>
      </c>
      <c r="B66" s="18" t="s">
        <v>160</v>
      </c>
      <c r="C66" s="20" t="s">
        <v>30</v>
      </c>
      <c r="D66" s="20" t="s">
        <v>65</v>
      </c>
      <c r="E66" s="7">
        <v>1280</v>
      </c>
    </row>
    <row r="67" spans="1:5" x14ac:dyDescent="0.3">
      <c r="A67" s="7" t="s">
        <v>161</v>
      </c>
      <c r="B67" s="18" t="s">
        <v>162</v>
      </c>
      <c r="C67" s="20" t="s">
        <v>82</v>
      </c>
      <c r="D67" s="20" t="s">
        <v>130</v>
      </c>
      <c r="E67" s="7">
        <v>1800</v>
      </c>
    </row>
    <row r="68" spans="1:5" x14ac:dyDescent="0.3">
      <c r="A68" s="7" t="s">
        <v>163</v>
      </c>
      <c r="B68" s="18" t="s">
        <v>164</v>
      </c>
      <c r="C68" s="20" t="s">
        <v>82</v>
      </c>
      <c r="D68" s="20" t="s">
        <v>130</v>
      </c>
      <c r="E68" s="7">
        <v>1700</v>
      </c>
    </row>
    <row r="69" spans="1:5" x14ac:dyDescent="0.3">
      <c r="A69" s="7" t="s">
        <v>165</v>
      </c>
      <c r="B69" s="18" t="s">
        <v>166</v>
      </c>
      <c r="C69" s="20" t="s">
        <v>30</v>
      </c>
      <c r="D69" s="20" t="s">
        <v>65</v>
      </c>
      <c r="E69" s="7">
        <v>1420</v>
      </c>
    </row>
    <row r="70" spans="1:5" x14ac:dyDescent="0.3">
      <c r="A70" s="7" t="s">
        <v>167</v>
      </c>
      <c r="B70" s="18" t="s">
        <v>168</v>
      </c>
      <c r="C70" s="20" t="s">
        <v>30</v>
      </c>
      <c r="D70" s="20" t="s">
        <v>70</v>
      </c>
      <c r="E70" s="7">
        <v>1820</v>
      </c>
    </row>
    <row r="71" spans="1:5" x14ac:dyDescent="0.3">
      <c r="A71" s="7" t="s">
        <v>169</v>
      </c>
      <c r="B71" s="18" t="s">
        <v>170</v>
      </c>
      <c r="C71" s="20" t="s">
        <v>20</v>
      </c>
      <c r="D71" s="20" t="s">
        <v>35</v>
      </c>
      <c r="E71" s="7">
        <v>3380</v>
      </c>
    </row>
    <row r="72" spans="1:5" x14ac:dyDescent="0.3">
      <c r="A72" s="7" t="s">
        <v>171</v>
      </c>
      <c r="B72" s="18" t="s">
        <v>172</v>
      </c>
      <c r="C72" s="20" t="s">
        <v>44</v>
      </c>
      <c r="D72" s="20" t="s">
        <v>35</v>
      </c>
      <c r="E72" s="7">
        <v>3940</v>
      </c>
    </row>
    <row r="73" spans="1:5" x14ac:dyDescent="0.3">
      <c r="A73" s="7" t="s">
        <v>173</v>
      </c>
      <c r="B73" s="18" t="s">
        <v>174</v>
      </c>
      <c r="C73" s="20" t="s">
        <v>16</v>
      </c>
      <c r="D73" s="20" t="s">
        <v>17</v>
      </c>
      <c r="E73" s="7">
        <v>1500</v>
      </c>
    </row>
    <row r="74" spans="1:5" x14ac:dyDescent="0.3">
      <c r="A74" s="7" t="s">
        <v>175</v>
      </c>
      <c r="B74" s="18" t="s">
        <v>176</v>
      </c>
      <c r="C74" s="20" t="s">
        <v>58</v>
      </c>
      <c r="D74" s="20" t="s">
        <v>59</v>
      </c>
      <c r="E74" s="7">
        <v>1540</v>
      </c>
    </row>
    <row r="75" spans="1:5" x14ac:dyDescent="0.3">
      <c r="A75" s="7" t="s">
        <v>177</v>
      </c>
      <c r="B75" s="18" t="s">
        <v>178</v>
      </c>
      <c r="C75" s="20" t="s">
        <v>16</v>
      </c>
      <c r="D75" s="20" t="s">
        <v>17</v>
      </c>
      <c r="E75" s="7">
        <v>1400</v>
      </c>
    </row>
    <row r="76" spans="1:5" x14ac:dyDescent="0.3">
      <c r="A76" s="7" t="s">
        <v>179</v>
      </c>
      <c r="B76" s="18" t="s">
        <v>180</v>
      </c>
      <c r="C76" s="20" t="s">
        <v>30</v>
      </c>
      <c r="D76" s="20" t="s">
        <v>70</v>
      </c>
      <c r="E76" s="7">
        <v>1300</v>
      </c>
    </row>
    <row r="77" spans="1:5" x14ac:dyDescent="0.3">
      <c r="A77" s="7" t="s">
        <v>181</v>
      </c>
      <c r="B77" s="18" t="s">
        <v>182</v>
      </c>
      <c r="C77" s="20" t="s">
        <v>82</v>
      </c>
      <c r="D77" s="20" t="s">
        <v>45</v>
      </c>
      <c r="E77" s="7">
        <v>1280</v>
      </c>
    </row>
    <row r="78" spans="1:5" x14ac:dyDescent="0.3">
      <c r="A78" s="7" t="s">
        <v>183</v>
      </c>
      <c r="B78" s="18" t="s">
        <v>184</v>
      </c>
      <c r="C78" s="20" t="s">
        <v>58</v>
      </c>
      <c r="D78" s="20" t="s">
        <v>59</v>
      </c>
      <c r="E78" s="7">
        <v>1700</v>
      </c>
    </row>
    <row r="79" spans="1:5" x14ac:dyDescent="0.3">
      <c r="A79" s="7" t="s">
        <v>185</v>
      </c>
      <c r="B79" s="18" t="s">
        <v>186</v>
      </c>
      <c r="C79" s="20" t="s">
        <v>16</v>
      </c>
      <c r="D79" s="20" t="s">
        <v>77</v>
      </c>
      <c r="E79" s="7">
        <v>1720</v>
      </c>
    </row>
    <row r="80" spans="1:5" x14ac:dyDescent="0.3">
      <c r="A80" s="7" t="s">
        <v>187</v>
      </c>
      <c r="B80" s="18" t="s">
        <v>188</v>
      </c>
      <c r="C80" s="20" t="s">
        <v>30</v>
      </c>
      <c r="D80" s="20" t="s">
        <v>70</v>
      </c>
      <c r="E80" s="7">
        <v>1540</v>
      </c>
    </row>
    <row r="81" spans="1:5" x14ac:dyDescent="0.3">
      <c r="A81" s="7" t="s">
        <v>189</v>
      </c>
      <c r="B81" s="18" t="s">
        <v>190</v>
      </c>
      <c r="C81" s="20" t="s">
        <v>82</v>
      </c>
      <c r="D81" s="20" t="s">
        <v>191</v>
      </c>
      <c r="E81" s="7">
        <v>1460</v>
      </c>
    </row>
    <row r="82" spans="1:5" x14ac:dyDescent="0.3">
      <c r="A82" s="7" t="s">
        <v>192</v>
      </c>
      <c r="B82" s="18" t="s">
        <v>193</v>
      </c>
      <c r="C82" s="20" t="s">
        <v>16</v>
      </c>
      <c r="D82" s="20" t="s">
        <v>17</v>
      </c>
      <c r="E82" s="7">
        <v>1520</v>
      </c>
    </row>
    <row r="83" spans="1:5" x14ac:dyDescent="0.3">
      <c r="A83" s="7" t="s">
        <v>194</v>
      </c>
      <c r="B83" s="18" t="s">
        <v>195</v>
      </c>
      <c r="C83" s="20" t="s">
        <v>16</v>
      </c>
      <c r="D83" s="20" t="s">
        <v>17</v>
      </c>
      <c r="E83" s="7">
        <v>1100</v>
      </c>
    </row>
    <row r="84" spans="1:5" x14ac:dyDescent="0.3">
      <c r="A84" s="7" t="s">
        <v>196</v>
      </c>
      <c r="B84" s="18" t="s">
        <v>197</v>
      </c>
      <c r="C84" s="20" t="s">
        <v>16</v>
      </c>
      <c r="D84" s="20" t="s">
        <v>17</v>
      </c>
      <c r="E84" s="7">
        <v>1420</v>
      </c>
    </row>
    <row r="85" spans="1:5" x14ac:dyDescent="0.3">
      <c r="A85" s="7" t="s">
        <v>198</v>
      </c>
      <c r="B85" s="18" t="s">
        <v>199</v>
      </c>
      <c r="C85" s="20" t="s">
        <v>82</v>
      </c>
      <c r="D85" s="20" t="s">
        <v>191</v>
      </c>
      <c r="E85" s="7">
        <v>1400</v>
      </c>
    </row>
    <row r="86" spans="1:5" x14ac:dyDescent="0.3">
      <c r="A86" s="7" t="s">
        <v>200</v>
      </c>
      <c r="B86" s="18" t="s">
        <v>201</v>
      </c>
      <c r="C86" s="20" t="s">
        <v>20</v>
      </c>
      <c r="D86" s="20" t="s">
        <v>45</v>
      </c>
      <c r="E86" s="7">
        <v>1020</v>
      </c>
    </row>
    <row r="87" spans="1:5" x14ac:dyDescent="0.3">
      <c r="A87" s="7" t="s">
        <v>202</v>
      </c>
      <c r="B87" s="18" t="s">
        <v>203</v>
      </c>
      <c r="C87" s="20" t="s">
        <v>16</v>
      </c>
      <c r="D87" s="20" t="s">
        <v>17</v>
      </c>
      <c r="E87" s="7">
        <v>1140</v>
      </c>
    </row>
    <row r="88" spans="1:5" x14ac:dyDescent="0.3">
      <c r="A88" s="7" t="s">
        <v>204</v>
      </c>
      <c r="B88" s="18" t="s">
        <v>205</v>
      </c>
      <c r="C88" s="20" t="s">
        <v>16</v>
      </c>
      <c r="D88" s="20" t="s">
        <v>17</v>
      </c>
      <c r="E88" s="7">
        <v>1300</v>
      </c>
    </row>
    <row r="89" spans="1:5" x14ac:dyDescent="0.3">
      <c r="A89" s="7" t="s">
        <v>206</v>
      </c>
      <c r="B89" s="18" t="s">
        <v>207</v>
      </c>
      <c r="C89" s="20" t="s">
        <v>16</v>
      </c>
      <c r="D89" s="20" t="s">
        <v>77</v>
      </c>
      <c r="E89" s="7">
        <v>1140</v>
      </c>
    </row>
    <row r="90" spans="1:5" x14ac:dyDescent="0.3">
      <c r="A90" s="7" t="s">
        <v>208</v>
      </c>
      <c r="B90" s="18" t="s">
        <v>209</v>
      </c>
      <c r="C90" s="20" t="s">
        <v>82</v>
      </c>
      <c r="D90" s="20" t="s">
        <v>191</v>
      </c>
      <c r="E90" s="7">
        <v>1300</v>
      </c>
    </row>
    <row r="91" spans="1:5" x14ac:dyDescent="0.3">
      <c r="A91" s="7" t="s">
        <v>210</v>
      </c>
      <c r="B91" s="18" t="s">
        <v>211</v>
      </c>
      <c r="C91" s="20" t="s">
        <v>40</v>
      </c>
      <c r="D91" s="20" t="s">
        <v>17</v>
      </c>
      <c r="E91" s="7">
        <v>1000</v>
      </c>
    </row>
    <row r="92" spans="1:5" x14ac:dyDescent="0.3">
      <c r="A92" s="7" t="s">
        <v>212</v>
      </c>
      <c r="B92" s="18" t="s">
        <v>213</v>
      </c>
      <c r="C92" s="20" t="s">
        <v>82</v>
      </c>
      <c r="D92" s="20" t="s">
        <v>45</v>
      </c>
      <c r="E92" s="7">
        <v>1160</v>
      </c>
    </row>
    <row r="93" spans="1:5" x14ac:dyDescent="0.3">
      <c r="A93" s="7" t="s">
        <v>214</v>
      </c>
      <c r="B93" s="18" t="s">
        <v>215</v>
      </c>
      <c r="C93" s="20" t="s">
        <v>16</v>
      </c>
      <c r="D93" s="20" t="s">
        <v>17</v>
      </c>
      <c r="E93" s="7">
        <v>1140</v>
      </c>
    </row>
    <row r="94" spans="1:5" x14ac:dyDescent="0.3">
      <c r="A94" s="7" t="s">
        <v>216</v>
      </c>
      <c r="B94" s="18" t="s">
        <v>217</v>
      </c>
      <c r="C94" s="20" t="s">
        <v>40</v>
      </c>
      <c r="D94" s="20" t="s">
        <v>17</v>
      </c>
      <c r="E94" s="7">
        <v>1020</v>
      </c>
    </row>
    <row r="95" spans="1:5" x14ac:dyDescent="0.3">
      <c r="A95" s="7" t="s">
        <v>218</v>
      </c>
      <c r="B95" s="18" t="s">
        <v>219</v>
      </c>
      <c r="C95" s="20" t="s">
        <v>30</v>
      </c>
      <c r="D95" s="20" t="s">
        <v>70</v>
      </c>
      <c r="E95" s="7">
        <v>1540</v>
      </c>
    </row>
    <row r="96" spans="1:5" x14ac:dyDescent="0.3">
      <c r="A96" s="7" t="s">
        <v>220</v>
      </c>
      <c r="B96" s="18" t="s">
        <v>221</v>
      </c>
      <c r="C96" s="20" t="s">
        <v>82</v>
      </c>
      <c r="D96" s="20" t="s">
        <v>191</v>
      </c>
      <c r="E96" s="7">
        <v>1540</v>
      </c>
    </row>
    <row r="97" spans="1:5" x14ac:dyDescent="0.3">
      <c r="A97" s="7" t="s">
        <v>222</v>
      </c>
      <c r="B97" s="18" t="s">
        <v>223</v>
      </c>
      <c r="C97" s="20" t="s">
        <v>20</v>
      </c>
      <c r="D97" s="20" t="s">
        <v>45</v>
      </c>
      <c r="E97" s="7">
        <v>1020</v>
      </c>
    </row>
    <row r="98" spans="1:5" x14ac:dyDescent="0.3">
      <c r="A98" s="7" t="s">
        <v>224</v>
      </c>
      <c r="B98" s="18" t="s">
        <v>225</v>
      </c>
      <c r="C98" s="19" t="s">
        <v>16</v>
      </c>
      <c r="D98" s="19" t="s">
        <v>17</v>
      </c>
      <c r="E98" s="7">
        <v>1740</v>
      </c>
    </row>
    <row r="99" spans="1:5" x14ac:dyDescent="0.3">
      <c r="A99" s="7" t="s">
        <v>226</v>
      </c>
      <c r="B99" s="18" t="s">
        <v>227</v>
      </c>
      <c r="C99" s="20" t="s">
        <v>82</v>
      </c>
      <c r="D99" s="20" t="s">
        <v>45</v>
      </c>
      <c r="E99" s="7">
        <v>1140</v>
      </c>
    </row>
    <row r="100" spans="1:5" x14ac:dyDescent="0.3">
      <c r="A100" s="7" t="s">
        <v>228</v>
      </c>
      <c r="B100" s="18" t="s">
        <v>229</v>
      </c>
      <c r="C100" s="20" t="s">
        <v>82</v>
      </c>
      <c r="D100" s="20" t="s">
        <v>45</v>
      </c>
      <c r="E100" s="7">
        <v>1300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9CA2-35ED-47E3-872C-73E820A0A4DF}">
  <sheetPr>
    <tabColor theme="0" tint="-0.249977111117893"/>
  </sheetPr>
  <dimension ref="B3:J18"/>
  <sheetViews>
    <sheetView zoomScale="145" zoomScaleNormal="145" workbookViewId="0"/>
  </sheetViews>
  <sheetFormatPr defaultRowHeight="14.4" x14ac:dyDescent="0.3"/>
  <cols>
    <col min="2" max="2" width="19.44140625" bestFit="1" customWidth="1"/>
    <col min="9" max="9" width="9.88671875" customWidth="1"/>
  </cols>
  <sheetData>
    <row r="3" spans="2:10" x14ac:dyDescent="0.3">
      <c r="B3" s="7"/>
      <c r="C3" s="50">
        <v>2012</v>
      </c>
      <c r="D3" s="50">
        <v>2013</v>
      </c>
      <c r="E3" s="50">
        <v>2014</v>
      </c>
      <c r="F3" s="50">
        <v>2015</v>
      </c>
      <c r="G3" s="50">
        <v>2016</v>
      </c>
      <c r="H3" s="50">
        <v>2017</v>
      </c>
      <c r="I3" s="50">
        <v>2018</v>
      </c>
      <c r="J3" s="50">
        <v>2019</v>
      </c>
    </row>
    <row r="4" spans="2:10" x14ac:dyDescent="0.3">
      <c r="B4" s="50" t="s">
        <v>250</v>
      </c>
      <c r="C4" s="51">
        <v>566741</v>
      </c>
      <c r="D4" s="51">
        <v>567967</v>
      </c>
      <c r="E4" s="51">
        <v>572103</v>
      </c>
      <c r="F4" s="51">
        <v>575601</v>
      </c>
      <c r="G4" s="51">
        <v>576265</v>
      </c>
      <c r="H4" s="51">
        <v>582556</v>
      </c>
      <c r="I4" s="51">
        <v>589610</v>
      </c>
      <c r="J4" s="51">
        <v>598059</v>
      </c>
    </row>
    <row r="5" spans="2:10" x14ac:dyDescent="0.3">
      <c r="B5" s="50" t="s">
        <v>239</v>
      </c>
      <c r="C5" s="51">
        <v>8620</v>
      </c>
      <c r="D5" s="51">
        <v>8638</v>
      </c>
      <c r="E5" s="51">
        <v>8589</v>
      </c>
      <c r="F5" s="51">
        <v>8582</v>
      </c>
      <c r="G5" s="51">
        <v>9348</v>
      </c>
      <c r="H5" s="51">
        <v>9335</v>
      </c>
      <c r="I5" s="51">
        <v>9387</v>
      </c>
      <c r="J5" s="51">
        <v>9387</v>
      </c>
    </row>
    <row r="6" spans="2:10" x14ac:dyDescent="0.3">
      <c r="B6" s="50" t="s">
        <v>257</v>
      </c>
      <c r="C6" s="51">
        <v>153716</v>
      </c>
      <c r="D6" s="51">
        <v>151909</v>
      </c>
      <c r="E6" s="51">
        <v>149483</v>
      </c>
      <c r="F6" s="51">
        <v>147597</v>
      </c>
      <c r="G6" s="51">
        <v>146506</v>
      </c>
      <c r="H6" s="51">
        <v>143880</v>
      </c>
      <c r="I6" s="51">
        <v>138266</v>
      </c>
      <c r="J6" s="51">
        <v>136240</v>
      </c>
    </row>
    <row r="7" spans="2:10" x14ac:dyDescent="0.3">
      <c r="B7" s="50" t="s">
        <v>240</v>
      </c>
      <c r="C7" s="51">
        <v>31967</v>
      </c>
      <c r="D7" s="51">
        <v>31587</v>
      </c>
      <c r="E7" s="51">
        <v>31145</v>
      </c>
      <c r="F7" s="51">
        <v>30841</v>
      </c>
      <c r="G7" s="51">
        <v>31298</v>
      </c>
      <c r="H7" s="51">
        <v>30840</v>
      </c>
      <c r="I7" s="51">
        <v>29119</v>
      </c>
      <c r="J7" s="51">
        <v>28734</v>
      </c>
    </row>
    <row r="8" spans="2:10" x14ac:dyDescent="0.3">
      <c r="B8" s="50" t="s">
        <v>241</v>
      </c>
      <c r="C8" s="51">
        <v>31204</v>
      </c>
      <c r="D8" s="51">
        <v>30913</v>
      </c>
      <c r="E8" s="51">
        <v>30425</v>
      </c>
      <c r="F8" s="51">
        <v>30109</v>
      </c>
      <c r="G8" s="51">
        <v>30709</v>
      </c>
      <c r="H8" s="51">
        <v>30378</v>
      </c>
      <c r="I8" s="51">
        <v>30661</v>
      </c>
      <c r="J8" s="51">
        <v>30286</v>
      </c>
    </row>
    <row r="9" spans="2:10" x14ac:dyDescent="0.3">
      <c r="B9" s="50" t="s">
        <v>258</v>
      </c>
      <c r="C9" s="51">
        <v>24734</v>
      </c>
      <c r="D9" s="51">
        <v>24622</v>
      </c>
      <c r="E9" s="51">
        <v>24323</v>
      </c>
      <c r="F9" s="51">
        <v>24070</v>
      </c>
      <c r="G9" s="51">
        <v>24580</v>
      </c>
      <c r="H9" s="51">
        <v>24301</v>
      </c>
      <c r="I9" s="51">
        <v>20646</v>
      </c>
      <c r="J9" s="51">
        <v>20507</v>
      </c>
    </row>
    <row r="10" spans="2:10" x14ac:dyDescent="0.3">
      <c r="B10" s="50" t="s">
        <v>242</v>
      </c>
      <c r="C10" s="51">
        <v>61154</v>
      </c>
      <c r="D10" s="51">
        <v>60518</v>
      </c>
      <c r="E10" s="51">
        <v>59583</v>
      </c>
      <c r="F10" s="51">
        <v>59039</v>
      </c>
      <c r="G10" s="51">
        <v>59467</v>
      </c>
      <c r="H10" s="51">
        <v>58856</v>
      </c>
      <c r="I10" s="51">
        <v>59791</v>
      </c>
      <c r="J10" s="51">
        <v>59325</v>
      </c>
    </row>
    <row r="11" spans="2:10" x14ac:dyDescent="0.3">
      <c r="B11" s="50" t="s">
        <v>248</v>
      </c>
      <c r="C11" s="51">
        <v>28026</v>
      </c>
      <c r="D11" s="51">
        <v>27816</v>
      </c>
      <c r="E11" s="51">
        <v>27641</v>
      </c>
      <c r="F11" s="51">
        <v>27438</v>
      </c>
      <c r="G11" s="51">
        <v>28218</v>
      </c>
      <c r="H11" s="51">
        <v>27963</v>
      </c>
      <c r="I11" s="51">
        <v>25290</v>
      </c>
      <c r="J11" s="51">
        <v>25006</v>
      </c>
    </row>
    <row r="12" spans="2:10" x14ac:dyDescent="0.3">
      <c r="B12" s="50" t="s">
        <v>259</v>
      </c>
      <c r="C12" s="51">
        <v>84388</v>
      </c>
      <c r="D12" s="51">
        <v>83677</v>
      </c>
      <c r="E12" s="51">
        <v>82829</v>
      </c>
      <c r="F12" s="51">
        <v>82349</v>
      </c>
      <c r="G12" s="51">
        <v>82997</v>
      </c>
      <c r="H12" s="51">
        <v>82535</v>
      </c>
      <c r="I12" s="51">
        <v>85756</v>
      </c>
      <c r="J12" s="51">
        <v>85938</v>
      </c>
    </row>
    <row r="13" spans="2:10" x14ac:dyDescent="0.3">
      <c r="B13" s="50" t="s">
        <v>256</v>
      </c>
      <c r="C13" s="51">
        <v>35503</v>
      </c>
      <c r="D13" s="51">
        <v>35069</v>
      </c>
      <c r="E13" s="51">
        <v>34676</v>
      </c>
      <c r="F13" s="51">
        <v>34436</v>
      </c>
      <c r="G13" s="51">
        <v>34148</v>
      </c>
      <c r="H13" s="51">
        <v>34085</v>
      </c>
      <c r="I13" s="51">
        <v>33299</v>
      </c>
      <c r="J13" s="51">
        <v>33311</v>
      </c>
    </row>
    <row r="14" spans="2:10" x14ac:dyDescent="0.3">
      <c r="B14" s="50" t="s">
        <v>260</v>
      </c>
      <c r="C14" s="51">
        <v>31835</v>
      </c>
      <c r="D14" s="51">
        <v>31815</v>
      </c>
      <c r="E14" s="51">
        <v>31756</v>
      </c>
      <c r="F14" s="51">
        <v>31706</v>
      </c>
      <c r="G14" s="51">
        <v>33481</v>
      </c>
      <c r="H14" s="51">
        <v>33307</v>
      </c>
      <c r="I14" s="51">
        <v>33231</v>
      </c>
      <c r="J14" s="51">
        <v>33108</v>
      </c>
    </row>
    <row r="15" spans="2:10" x14ac:dyDescent="0.3">
      <c r="B15" s="50" t="s">
        <v>261</v>
      </c>
      <c r="C15" s="51">
        <v>153479</v>
      </c>
      <c r="D15" s="51">
        <v>153100</v>
      </c>
      <c r="E15" s="51">
        <v>152188</v>
      </c>
      <c r="F15" s="51">
        <v>151377</v>
      </c>
      <c r="G15" s="51">
        <v>145003</v>
      </c>
      <c r="H15" s="51">
        <v>145550</v>
      </c>
      <c r="I15" s="51">
        <v>151122</v>
      </c>
      <c r="J15" s="51">
        <v>152977</v>
      </c>
    </row>
    <row r="16" spans="2:10" x14ac:dyDescent="0.3">
      <c r="B16" s="50" t="s">
        <v>253</v>
      </c>
      <c r="C16" s="51">
        <v>31068</v>
      </c>
      <c r="D16" s="51">
        <v>30590</v>
      </c>
      <c r="E16" s="51">
        <v>30176</v>
      </c>
      <c r="F16" s="51">
        <v>29944</v>
      </c>
      <c r="G16" s="51">
        <v>30524</v>
      </c>
      <c r="H16" s="51">
        <v>30084</v>
      </c>
      <c r="I16" s="51">
        <v>28669</v>
      </c>
      <c r="J16" s="51">
        <v>28370</v>
      </c>
    </row>
    <row r="17" spans="2:10" x14ac:dyDescent="0.3">
      <c r="B17" s="50" t="s">
        <v>251</v>
      </c>
      <c r="C17" s="51">
        <v>48604</v>
      </c>
      <c r="D17" s="51">
        <v>48127</v>
      </c>
      <c r="E17" s="51">
        <v>47476</v>
      </c>
      <c r="F17" s="51">
        <v>47010</v>
      </c>
      <c r="G17" s="51">
        <v>47853</v>
      </c>
      <c r="H17" s="51">
        <v>47288</v>
      </c>
      <c r="I17" s="51">
        <v>46782</v>
      </c>
      <c r="J17" s="51">
        <v>46371</v>
      </c>
    </row>
    <row r="18" spans="2:10" x14ac:dyDescent="0.3">
      <c r="B18" s="50" t="s">
        <v>255</v>
      </c>
      <c r="C18" s="51">
        <v>34178</v>
      </c>
      <c r="D18" s="51">
        <v>33826</v>
      </c>
      <c r="E18" s="51">
        <v>33426</v>
      </c>
      <c r="F18" s="51">
        <v>33172</v>
      </c>
      <c r="G18" s="51">
        <v>33973</v>
      </c>
      <c r="H18" s="51">
        <v>33505</v>
      </c>
      <c r="I18" s="51">
        <v>36133</v>
      </c>
      <c r="J18" s="51">
        <v>35782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35</vt:i4>
      </vt:variant>
    </vt:vector>
  </HeadingPairs>
  <TitlesOfParts>
    <vt:vector size="43" baseType="lpstr">
      <vt:lpstr>Tabeliobjekt</vt:lpstr>
      <vt:lpstr>SKP</vt:lpstr>
      <vt:lpstr>Pivot</vt:lpstr>
      <vt:lpstr>Subtotal</vt:lpstr>
      <vt:lpstr>Koond</vt:lpstr>
      <vt:lpstr>Ideaal</vt:lpstr>
      <vt:lpstr>Töötajad</vt:lpstr>
      <vt:lpstr>Rahvastik</vt:lpstr>
      <vt:lpstr>aasta</vt:lpstr>
      <vt:lpstr>SKP!Criteria</vt:lpstr>
      <vt:lpstr>Subtotal!Criteria</vt:lpstr>
      <vt:lpstr>SKP!Extract</vt:lpstr>
      <vt:lpstr>Subtotal!Extract</vt:lpstr>
      <vt:lpstr>Ideaalkaal__mid</vt:lpstr>
      <vt:lpstr>kaal__m</vt:lpstr>
      <vt:lpstr>kehamassiindeks__kind</vt:lpstr>
      <vt:lpstr>kõik_kaalud</vt:lpstr>
      <vt:lpstr>kõik_pikkused</vt:lpstr>
      <vt:lpstr>lähteandmed</vt:lpstr>
      <vt:lpstr>maakond</vt:lpstr>
      <vt:lpstr>maakondade_rahvaarvud</vt:lpstr>
      <vt:lpstr>majandusnäitajad_el._kohta</vt:lpstr>
      <vt:lpstr>majandussektorid</vt:lpstr>
      <vt:lpstr>pikkus__l</vt:lpstr>
      <vt:lpstr>rahvastik_aastad</vt:lpstr>
      <vt:lpstr>rahvastik_maakonnad</vt:lpstr>
      <vt:lpstr>rahvastik_tabel</vt:lpstr>
      <vt:lpstr>rasvaprotsent__r</vt:lpstr>
      <vt:lpstr>SKP_aasta</vt:lpstr>
      <vt:lpstr>SKP_andmed</vt:lpstr>
      <vt:lpstr>SKP_maakond</vt:lpstr>
      <vt:lpstr>sugu</vt:lpstr>
      <vt:lpstr>sõnaline_hinnang</vt:lpstr>
      <vt:lpstr>Tabel_A</vt:lpstr>
      <vt:lpstr>Tabel_B</vt:lpstr>
      <vt:lpstr>Tabel_C</vt:lpstr>
      <vt:lpstr>tabel_kmi</vt:lpstr>
      <vt:lpstr>tihedus__p</vt:lpstr>
      <vt:lpstr>töötajate_tabel</vt:lpstr>
      <vt:lpstr>vanus__t</vt:lpstr>
      <vt:lpstr>väljamõeldud_inimesed</vt:lpstr>
      <vt:lpstr>Väärtus_jooksevhindades__miljonit_eurot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2026-07-20T19:05:58Z</dcterms:created>
  <dcterms:modified xsi:type="dcterms:W3CDTF">2026-07-31T21:43:13Z</dcterms:modified>
</cp:coreProperties>
</file>