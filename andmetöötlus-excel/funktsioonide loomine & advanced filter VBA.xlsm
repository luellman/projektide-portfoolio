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98c36b14c3f46f3/Desktop/Exceli harjutused/"/>
    </mc:Choice>
  </mc:AlternateContent>
  <xr:revisionPtr revIDLastSave="92630" documentId="8_{95A64013-D515-4B7F-B792-5B7BA978BD26}" xr6:coauthVersionLast="47" xr6:coauthVersionMax="47" xr10:uidLastSave="{6ECAC93A-DFC8-4B92-B5F6-10219983B3F2}"/>
  <bookViews>
    <workbookView xWindow="-108" yWindow="-108" windowWidth="23256" windowHeight="12456" activeTab="3" xr2:uid="{FB7BEC6F-8638-4089-96A3-16E7AB76220F}"/>
  </bookViews>
  <sheets>
    <sheet name="Kuupaevad" sheetId="1" r:id="rId1"/>
    <sheet name="Andmed" sheetId="2" r:id="rId2"/>
    <sheet name="Tabelid" sheetId="8" r:id="rId3"/>
    <sheet name="Paring" sheetId="5" r:id="rId4"/>
    <sheet name="Inimesed" sheetId="4" r:id="rId5"/>
  </sheets>
  <functionGroups builtInGroupCount="19"/>
  <definedNames>
    <definedName name="_xlnm._FilterDatabase" localSheetId="4" hidden="1">Inimesed!$A$5:$R$93</definedName>
    <definedName name="_xlnm._FilterDatabase" localSheetId="3" hidden="1">Paring!$L$11:$M$12</definedName>
    <definedName name="Aasta">Kuupaevad!$B$12:$B$42</definedName>
    <definedName name="algus">Tabelid!$B$17</definedName>
    <definedName name="arvud">Andmed!$B$12:$K$31</definedName>
    <definedName name="_xlnm.Criteria" localSheetId="3">Paring!$L$12:$M$13</definedName>
    <definedName name="_xlnm.Extract" localSheetId="3">Paring!$B$12:$J$244</definedName>
    <definedName name="tab_algne">Tabelid!$H$17</definedName>
    <definedName name="Tabel_B">Tabelid!$H$17:$J$121</definedName>
    <definedName name="tabel2">Inimesed!$A$5:$R$93</definedName>
    <definedName name="tingimus">Paring!$L$12:$M$13</definedName>
    <definedName name="tulem">Tabelid!$M$123</definedName>
    <definedName name="tulemus">Tabelid!$P$3</definedName>
    <definedName name="varvid">Tabelid!$B$14:$L$14</definedName>
    <definedName name="vasted">Paring!$B$13:$J$244</definedName>
    <definedName name="vastused">Paring!$B$12:$J$244</definedName>
    <definedName name="väljamõeldud_inimesed">Inimesed!$A$5:$R$93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1" i="1" l="1" a="1"/>
  <c r="C16" i="1" a="1"/>
  <c r="J39" i="1" a="1"/>
  <c r="J18" i="1" a="1"/>
  <c r="J32" i="1" a="1"/>
  <c r="C32" i="1" a="1"/>
  <c r="C39" i="1" a="1"/>
  <c r="J25" i="1" a="1"/>
  <c r="C19" i="1" a="1"/>
  <c r="J31" i="1" a="1"/>
  <c r="C42" i="1" a="1"/>
  <c r="J43" i="1" a="1"/>
  <c r="C20" i="1" a="1"/>
  <c r="C40" i="1" a="1"/>
  <c r="C27" i="1" a="1"/>
  <c r="C12" i="1" a="1"/>
  <c r="C36" i="1" a="1"/>
  <c r="J47" i="1" a="1"/>
  <c r="C21" i="1" a="1"/>
  <c r="C30" i="1" a="1"/>
  <c r="J51" i="1" a="1"/>
  <c r="J37" i="1" a="1"/>
  <c r="J50" i="1" a="1"/>
  <c r="C35" i="1" a="1"/>
  <c r="C37" i="1" a="1"/>
  <c r="J29" i="1" a="1"/>
  <c r="J44" i="1" a="1"/>
  <c r="J41" i="1" a="1"/>
  <c r="C22" i="1" a="1"/>
  <c r="C17" i="1" a="1"/>
  <c r="J48" i="1" a="1"/>
  <c r="J36" i="1" a="1"/>
  <c r="J33" i="1" a="1"/>
  <c r="C23" i="1" a="1"/>
  <c r="C31" i="1" a="1"/>
  <c r="J40" i="1" a="1"/>
  <c r="J49" i="1" a="1"/>
  <c r="J16" i="1" a="1"/>
  <c r="C24" i="1" a="1"/>
  <c r="C38" i="1" a="1"/>
  <c r="J20" i="1" a="1"/>
  <c r="J26" i="1" a="1"/>
  <c r="J35" i="1" a="1"/>
  <c r="C25" i="1" a="1"/>
  <c r="C18" i="1" a="1"/>
  <c r="J14" i="1" a="1"/>
  <c r="J38" i="1" a="1"/>
  <c r="J30" i="1" a="1"/>
  <c r="C26" i="1" a="1"/>
  <c r="J17" i="1" a="1"/>
  <c r="J27" i="1" a="1"/>
  <c r="J15" i="1" a="1"/>
  <c r="C14" i="1" a="1"/>
  <c r="J34" i="1" a="1"/>
  <c r="J19" i="1" a="1"/>
  <c r="C28" i="1" a="1"/>
  <c r="J45" i="1" a="1"/>
  <c r="J24" i="1" a="1"/>
  <c r="C13" i="1" a="1"/>
  <c r="C33" i="1" a="1"/>
  <c r="J23" i="1" a="1"/>
  <c r="J22" i="1" a="1"/>
  <c r="C15" i="1" a="1"/>
  <c r="J42" i="1" a="1"/>
  <c r="J21" i="1" a="1"/>
  <c r="C29" i="1" a="1"/>
  <c r="J46" i="1" a="1"/>
  <c r="J12" i="1" a="1"/>
  <c r="C34" i="1" a="1"/>
  <c r="J13" i="1" a="1"/>
  <c r="J28" i="1" a="1"/>
  <c r="K49" i="1"/>
  <c r="D22" i="1"/>
  <c r="D33" i="1"/>
  <c r="D31" i="1"/>
  <c r="K32" i="1"/>
  <c r="D17" i="1"/>
  <c r="D29" i="1"/>
  <c r="D19" i="1"/>
  <c r="K40" i="1"/>
  <c r="K18" i="1"/>
  <c r="D37" i="1"/>
  <c r="D16" i="1"/>
  <c r="K28" i="1"/>
  <c r="K44" i="1"/>
  <c r="D23" i="1"/>
  <c r="K13" i="1"/>
  <c r="D40" i="1"/>
  <c r="K33" i="1"/>
  <c r="D32" i="1"/>
  <c r="K42" i="1"/>
  <c r="K23" i="1"/>
  <c r="K46" i="1"/>
  <c r="D34" i="1"/>
  <c r="K41" i="1"/>
  <c r="K38" i="1"/>
  <c r="K25" i="1"/>
  <c r="L33" i="2"/>
  <c r="D35" i="1"/>
  <c r="D13" i="1"/>
  <c r="D20" i="1"/>
  <c r="L32" i="2"/>
  <c r="K30" i="1"/>
  <c r="D27" i="1"/>
  <c r="K16" i="1"/>
  <c r="K43" i="1"/>
  <c r="K21" i="1"/>
  <c r="K45" i="1"/>
  <c r="K20" i="1"/>
  <c r="K35" i="1"/>
  <c r="D39" i="1"/>
  <c r="D25" i="1"/>
  <c r="K17" i="1"/>
  <c r="D21" i="1"/>
  <c r="D28" i="1"/>
  <c r="K36" i="1"/>
  <c r="D15" i="1"/>
  <c r="K12" i="1"/>
  <c r="D24" i="1"/>
  <c r="D26" i="1"/>
  <c r="K50" i="1"/>
  <c r="D41" i="1"/>
  <c r="K47" i="1"/>
  <c r="K27" i="1"/>
  <c r="K29" i="1"/>
  <c r="D30" i="1"/>
  <c r="K24" i="1"/>
  <c r="K14" i="1"/>
  <c r="K15" i="1"/>
  <c r="D38" i="1"/>
  <c r="K39" i="1"/>
  <c r="K34" i="1"/>
  <c r="D42" i="1"/>
  <c r="D36" i="1"/>
  <c r="K19" i="1"/>
  <c r="D14" i="1"/>
  <c r="K22" i="1"/>
  <c r="K37" i="1"/>
  <c r="K31" i="1"/>
  <c r="D12" i="1"/>
  <c r="K51" i="1"/>
  <c r="D18" i="1"/>
  <c r="K26" i="1"/>
  <c r="K48" i="1"/>
  <c r="C40" i="1" l="1"/>
  <c r="C33" i="1"/>
  <c r="C19" i="1"/>
  <c r="C39" i="1"/>
  <c r="C32" i="1"/>
  <c r="C18" i="1"/>
  <c r="C38" i="1"/>
  <c r="C31" i="1"/>
  <c r="C17" i="1"/>
  <c r="C37" i="1"/>
  <c r="C30" i="1"/>
  <c r="C16" i="1"/>
  <c r="C36" i="1"/>
  <c r="C29" i="1"/>
  <c r="C15" i="1"/>
  <c r="C42" i="1"/>
  <c r="C28" i="1"/>
  <c r="C14" i="1"/>
  <c r="C26" i="1"/>
  <c r="C25" i="1"/>
  <c r="C24" i="1"/>
  <c r="C23" i="1"/>
  <c r="C22" i="1"/>
  <c r="C35" i="1"/>
  <c r="C21" i="1"/>
  <c r="C41" i="1"/>
  <c r="C34" i="1"/>
  <c r="C27" i="1"/>
  <c r="C20" i="1"/>
  <c r="C13" i="1"/>
  <c r="C12" i="1"/>
  <c r="J47" i="1"/>
  <c r="J40" i="1"/>
  <c r="J33" i="1"/>
  <c r="J26" i="1"/>
  <c r="J19" i="1"/>
  <c r="J46" i="1"/>
  <c r="J39" i="1"/>
  <c r="J32" i="1"/>
  <c r="J25" i="1"/>
  <c r="J18" i="1"/>
  <c r="J45" i="1"/>
  <c r="J38" i="1"/>
  <c r="J31" i="1"/>
  <c r="J24" i="1"/>
  <c r="J17" i="1"/>
  <c r="J51" i="1"/>
  <c r="J44" i="1"/>
  <c r="J37" i="1"/>
  <c r="J30" i="1"/>
  <c r="J23" i="1"/>
  <c r="J16" i="1"/>
  <c r="J50" i="1"/>
  <c r="J43" i="1"/>
  <c r="J36" i="1"/>
  <c r="J29" i="1"/>
  <c r="J22" i="1"/>
  <c r="J15" i="1"/>
  <c r="J49" i="1"/>
  <c r="J42" i="1"/>
  <c r="J35" i="1"/>
  <c r="J28" i="1"/>
  <c r="J21" i="1"/>
  <c r="J14" i="1"/>
  <c r="J48" i="1"/>
  <c r="J41" i="1"/>
  <c r="J34" i="1"/>
  <c r="J27" i="1"/>
  <c r="J20" i="1"/>
  <c r="J13" i="1"/>
  <c r="J12" i="1"/>
  <c r="G93" i="4" l="1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32" i="2" a="1"/>
  <c r="I33" i="2" a="1"/>
  <c r="C33" i="2" a="1"/>
  <c r="K32" i="2" a="1"/>
  <c r="E32" i="2" a="1"/>
  <c r="H32" i="2" a="1"/>
  <c r="B33" i="2" a="1"/>
  <c r="K33" i="2" a="1"/>
  <c r="F32" i="2" a="1"/>
  <c r="E33" i="2" a="1"/>
  <c r="F33" i="2" a="1"/>
  <c r="J33" i="2" a="1"/>
  <c r="I32" i="2" a="1"/>
  <c r="D33" i="2" a="1"/>
  <c r="J32" i="2" a="1"/>
  <c r="C32" i="2" a="1"/>
  <c r="D32" i="2" a="1"/>
  <c r="H33" i="2" a="1"/>
  <c r="B32" i="2" a="1"/>
  <c r="G33" i="2" a="1"/>
  <c r="J32" i="2" l="1"/>
  <c r="K32" i="2"/>
  <c r="B33" i="2"/>
  <c r="C33" i="2"/>
  <c r="D33" i="2"/>
  <c r="E33" i="2"/>
  <c r="B32" i="2"/>
  <c r="F33" i="2"/>
  <c r="C32" i="2"/>
  <c r="G33" i="2"/>
  <c r="D32" i="2"/>
  <c r="H33" i="2"/>
  <c r="E32" i="2"/>
  <c r="I33" i="2"/>
  <c r="F32" i="2"/>
  <c r="J33" i="2"/>
  <c r="G32" i="2"/>
  <c r="K33" i="2"/>
  <c r="H32" i="2"/>
  <c r="I3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<sst xmlns="http://schemas.openxmlformats.org/spreadsheetml/2006/main" count="1739" uniqueCount="467">
  <si>
    <t>Aasta</t>
  </si>
  <si>
    <t>Küsitud kuupäev (VBA fn-ga)</t>
  </si>
  <si>
    <t>Väärtus1</t>
  </si>
  <si>
    <t>Väärtus2</t>
  </si>
  <si>
    <t>Väärtus3</t>
  </si>
  <si>
    <t>tekst</t>
  </si>
  <si>
    <t>Marianne</t>
  </si>
  <si>
    <t>4.5.6.7</t>
  </si>
  <si>
    <t>nimi</t>
  </si>
  <si>
    <t>Timur</t>
  </si>
  <si>
    <t>värvid</t>
  </si>
  <si>
    <t>palju</t>
  </si>
  <si>
    <t>aastad</t>
  </si>
  <si>
    <t>aaa</t>
  </si>
  <si>
    <t>Kaspar Karu</t>
  </si>
  <si>
    <t>number</t>
  </si>
  <si>
    <t>andmed</t>
  </si>
  <si>
    <t>Kaspar</t>
  </si>
  <si>
    <t>Jaanus</t>
  </si>
  <si>
    <t>arv</t>
  </si>
  <si>
    <t>algus</t>
  </si>
  <si>
    <t>tee</t>
  </si>
  <si>
    <t>Pille-Riin</t>
  </si>
  <si>
    <t>kaugus</t>
  </si>
  <si>
    <t>456.67.67</t>
  </si>
  <si>
    <t>lõpp</t>
  </si>
  <si>
    <t>teemad</t>
  </si>
  <si>
    <t>roheline</t>
  </si>
  <si>
    <t>helehall</t>
  </si>
  <si>
    <t>helesinine</t>
  </si>
  <si>
    <t>kollane</t>
  </si>
  <si>
    <t>mereroheline</t>
  </si>
  <si>
    <t>oranž</t>
  </si>
  <si>
    <t>roosa</t>
  </si>
  <si>
    <t>tumehall</t>
  </si>
  <si>
    <t>vanaroosa</t>
  </si>
  <si>
    <t>sinine</t>
  </si>
  <si>
    <t>punane</t>
  </si>
  <si>
    <t>mees</t>
  </si>
  <si>
    <t>tootmine</t>
  </si>
  <si>
    <t>Juhataja</t>
  </si>
  <si>
    <t>tööline</t>
  </si>
  <si>
    <t>Müügiesindaja</t>
  </si>
  <si>
    <t>transport</t>
  </si>
  <si>
    <t>naine</t>
  </si>
  <si>
    <t>5-päevane töönädal</t>
  </si>
  <si>
    <t>einar laanepõld</t>
  </si>
  <si>
    <t>Erki Lepiksoo</t>
  </si>
  <si>
    <t>Tootmine</t>
  </si>
  <si>
    <t>Finantsosakond</t>
  </si>
  <si>
    <t>Irma Piirsalu</t>
  </si>
  <si>
    <t>finantsosakond</t>
  </si>
  <si>
    <t>Tööline</t>
  </si>
  <si>
    <t>23.753AS</t>
  </si>
  <si>
    <t>Ladu</t>
  </si>
  <si>
    <t>5. väärtus</t>
  </si>
  <si>
    <t>50-eurone</t>
  </si>
  <si>
    <t>majandus</t>
  </si>
  <si>
    <t>dispetšer</t>
  </si>
  <si>
    <t>müügijuht</t>
  </si>
  <si>
    <t>Leida Jaanus</t>
  </si>
  <si>
    <t>juhataja</t>
  </si>
  <si>
    <t>Elvi Berk</t>
  </si>
  <si>
    <t>Transport</t>
  </si>
  <si>
    <t>Hendrik Kanter</t>
  </si>
  <si>
    <t>Vilma Eesmaa</t>
  </si>
  <si>
    <t>Müük</t>
  </si>
  <si>
    <t>100-aastane</t>
  </si>
  <si>
    <t>Komplekteerija</t>
  </si>
  <si>
    <t>Finants</t>
  </si>
  <si>
    <t>jaan laubre</t>
  </si>
  <si>
    <t>77-KPS</t>
  </si>
  <si>
    <t>4-päenane töönädal</t>
  </si>
  <si>
    <t>Raamatupidaja</t>
  </si>
  <si>
    <t>4. väärtus</t>
  </si>
  <si>
    <t>Malle Põldmaa</t>
  </si>
  <si>
    <t>7-aastane</t>
  </si>
  <si>
    <t>Ost</t>
  </si>
  <si>
    <t>finants</t>
  </si>
  <si>
    <t>müük</t>
  </si>
  <si>
    <t>098-vna</t>
  </si>
  <si>
    <t>ene õun</t>
  </si>
  <si>
    <t>6-kuune</t>
  </si>
  <si>
    <t>3-kroonine rahatäht</t>
  </si>
  <si>
    <t>Autojuht</t>
  </si>
  <si>
    <t>Aadu Heinlo</t>
  </si>
  <si>
    <t>riho kuusk</t>
  </si>
  <si>
    <t>raamatupidaja</t>
  </si>
  <si>
    <t>5-kroonine</t>
  </si>
  <si>
    <t>andrus koort</t>
  </si>
  <si>
    <t>kaspar veesimaa</t>
  </si>
  <si>
    <t>56-kt</t>
  </si>
  <si>
    <t>7-päevane</t>
  </si>
  <si>
    <t>kai aun</t>
  </si>
  <si>
    <t>aadu heinlo</t>
  </si>
  <si>
    <t>2. väärtus</t>
  </si>
  <si>
    <t>erika bachmann</t>
  </si>
  <si>
    <t>4-kordne</t>
  </si>
  <si>
    <t>reijo muld</t>
  </si>
  <si>
    <t>erika kasemets</t>
  </si>
  <si>
    <t>50-aastane</t>
  </si>
  <si>
    <t>1. väärtus</t>
  </si>
  <si>
    <t>3. väärtus</t>
  </si>
  <si>
    <t>5-kordne</t>
  </si>
  <si>
    <t>ene burmeister</t>
  </si>
  <si>
    <t>3-aastane</t>
  </si>
  <si>
    <t>IKood</t>
  </si>
  <si>
    <t>Eesnimi</t>
  </si>
  <si>
    <t>Perenimi</t>
  </si>
  <si>
    <t>Sugu</t>
  </si>
  <si>
    <t>SAasta</t>
  </si>
  <si>
    <t>Sünniaeg</t>
  </si>
  <si>
    <t>Vanus</t>
  </si>
  <si>
    <t>Pereseis</t>
  </si>
  <si>
    <t>Osakond</t>
  </si>
  <si>
    <t>Amet</t>
  </si>
  <si>
    <t>Palk</t>
  </si>
  <si>
    <t>Linn</t>
  </si>
  <si>
    <t>Aadress</t>
  </si>
  <si>
    <t>Huviala</t>
  </si>
  <si>
    <t>Kodulemmik</t>
  </si>
  <si>
    <t>Tähtkuju</t>
  </si>
  <si>
    <t>Sünnikuu</t>
  </si>
  <si>
    <t>Aastaaeg</t>
  </si>
  <si>
    <t>Priit</t>
  </si>
  <si>
    <t>Burmeister</t>
  </si>
  <si>
    <t>lahutatud</t>
  </si>
  <si>
    <t>autojuht</t>
  </si>
  <si>
    <t>Jõgeva</t>
  </si>
  <si>
    <t>Mustamäe tee 165-58</t>
  </si>
  <si>
    <t>programmeerimine</t>
  </si>
  <si>
    <t>hamster</t>
  </si>
  <si>
    <t>Veevalaja</t>
  </si>
  <si>
    <t>Veebruar</t>
  </si>
  <si>
    <t>Talv</t>
  </si>
  <si>
    <t>Ahto</t>
  </si>
  <si>
    <t>Danilov</t>
  </si>
  <si>
    <t>vallaline</t>
  </si>
  <si>
    <t>Paide</t>
  </si>
  <si>
    <t>Linnamäe tee 85-21</t>
  </si>
  <si>
    <t>raamatu lugemine</t>
  </si>
  <si>
    <t>ei ole</t>
  </si>
  <si>
    <t>Sõnn</t>
  </si>
  <si>
    <t>Aprill</t>
  </si>
  <si>
    <t>Kevad</t>
  </si>
  <si>
    <t>Margus</t>
  </si>
  <si>
    <t>Roosimägi</t>
  </si>
  <si>
    <t>abielus</t>
  </si>
  <si>
    <t>Kallaste</t>
  </si>
  <si>
    <t>Õismäe tee 96-35</t>
  </si>
  <si>
    <t>karate</t>
  </si>
  <si>
    <t>Jäär</t>
  </si>
  <si>
    <t>Kristjan</t>
  </si>
  <si>
    <t>Mägi</t>
  </si>
  <si>
    <t>diiler</t>
  </si>
  <si>
    <t>Saue</t>
  </si>
  <si>
    <t>Tartu mnt 24-1</t>
  </si>
  <si>
    <t>pillimäng</t>
  </si>
  <si>
    <t>Jaan</t>
  </si>
  <si>
    <t>Noormets</t>
  </si>
  <si>
    <t>Tallinn</t>
  </si>
  <si>
    <t>Kivila 18-69</t>
  </si>
  <si>
    <t>võrkpall</t>
  </si>
  <si>
    <t>koer</t>
  </si>
  <si>
    <t>Elvi</t>
  </si>
  <si>
    <t>Berk</t>
  </si>
  <si>
    <t>koristaja</t>
  </si>
  <si>
    <t>Rakvere</t>
  </si>
  <si>
    <t>Sõpruse 3 - 125</t>
  </si>
  <si>
    <t>kalapüük</t>
  </si>
  <si>
    <t>kilpkonn</t>
  </si>
  <si>
    <t>Mai</t>
  </si>
  <si>
    <t>Reijo</t>
  </si>
  <si>
    <t>Okspuu</t>
  </si>
  <si>
    <t>vabaabielus</t>
  </si>
  <si>
    <t>Kadrina</t>
  </si>
  <si>
    <t>Pakase 47</t>
  </si>
  <si>
    <t>kass</t>
  </si>
  <si>
    <t>Kalad</t>
  </si>
  <si>
    <t>Aare</t>
  </si>
  <si>
    <t>Raudsepp</t>
  </si>
  <si>
    <t>Kärberi 13-8</t>
  </si>
  <si>
    <t>kergejõustik</t>
  </si>
  <si>
    <t>meresiga</t>
  </si>
  <si>
    <t>Tiina</t>
  </si>
  <si>
    <t>Rajamäe</t>
  </si>
  <si>
    <t>dispetser</t>
  </si>
  <si>
    <t>Viljandi</t>
  </si>
  <si>
    <t>Arbu 5-24</t>
  </si>
  <si>
    <t>Mare</t>
  </si>
  <si>
    <t>Eesmaa</t>
  </si>
  <si>
    <t>Majandus</t>
  </si>
  <si>
    <t>Kiili</t>
  </si>
  <si>
    <t>Mahtra 36-50</t>
  </si>
  <si>
    <t>golfimäng</t>
  </si>
  <si>
    <t>Märts</t>
  </si>
  <si>
    <t>Hendrik</t>
  </si>
  <si>
    <t>Kanter</t>
  </si>
  <si>
    <t>Võru</t>
  </si>
  <si>
    <t>Aegviidu Piibe mnt 44-1</t>
  </si>
  <si>
    <t>Skorpion</t>
  </si>
  <si>
    <t>Oktoober</t>
  </si>
  <si>
    <t>Sügis</t>
  </si>
  <si>
    <t>Malle</t>
  </si>
  <si>
    <t>Kivioja</t>
  </si>
  <si>
    <t>Võru 2-125</t>
  </si>
  <si>
    <t>Kaalud</t>
  </si>
  <si>
    <t>Anton</t>
  </si>
  <si>
    <t>Meister</t>
  </si>
  <si>
    <t>lesk</t>
  </si>
  <si>
    <t>Pärnu</t>
  </si>
  <si>
    <t>Liivalaia 32-35</t>
  </si>
  <si>
    <t>Aarne</t>
  </si>
  <si>
    <t>Mikson</t>
  </si>
  <si>
    <t>Erno</t>
  </si>
  <si>
    <t>Salumets</t>
  </si>
  <si>
    <t>Kuressaare</t>
  </si>
  <si>
    <t>Pronksi 6a-1</t>
  </si>
  <si>
    <t>sulgpall</t>
  </si>
  <si>
    <t>papagoi</t>
  </si>
  <si>
    <t>Neitsi</t>
  </si>
  <si>
    <t>September</t>
  </si>
  <si>
    <t>Faina</t>
  </si>
  <si>
    <t>Lepp</t>
  </si>
  <si>
    <t>Vikerlase 13-216</t>
  </si>
  <si>
    <t>madu</t>
  </si>
  <si>
    <t>November</t>
  </si>
  <si>
    <t>Ligi</t>
  </si>
  <si>
    <t>jurist</t>
  </si>
  <si>
    <t>Lõime 6-4</t>
  </si>
  <si>
    <t>Ambur</t>
  </si>
  <si>
    <t>Erki</t>
  </si>
  <si>
    <t>Arsenov</t>
  </si>
  <si>
    <t>kompekteerija</t>
  </si>
  <si>
    <t>Loksa</t>
  </si>
  <si>
    <t>Retke 22-43</t>
  </si>
  <si>
    <t>rahvatants</t>
  </si>
  <si>
    <t>Mirja</t>
  </si>
  <si>
    <t>Bergmann</t>
  </si>
  <si>
    <t>Tartu</t>
  </si>
  <si>
    <t>Rästa 7/3</t>
  </si>
  <si>
    <t>käsitöö</t>
  </si>
  <si>
    <t>Kaksikud</t>
  </si>
  <si>
    <t>Juuni</t>
  </si>
  <si>
    <t>Suvi</t>
  </si>
  <si>
    <t>Aasa</t>
  </si>
  <si>
    <t>Randla</t>
  </si>
  <si>
    <t>Kunda</t>
  </si>
  <si>
    <t>Telliskivi 52a-1</t>
  </si>
  <si>
    <t>Kaljukits</t>
  </si>
  <si>
    <t>Jaanuar</t>
  </si>
  <si>
    <t>Aadu</t>
  </si>
  <si>
    <t>Malva</t>
  </si>
  <si>
    <t>Paldiski</t>
  </si>
  <si>
    <t>Läänemere 62-68</t>
  </si>
  <si>
    <t>Lõvi</t>
  </si>
  <si>
    <t>August</t>
  </si>
  <si>
    <t>Arnold</t>
  </si>
  <si>
    <t>Merilaid</t>
  </si>
  <si>
    <t>Keila</t>
  </si>
  <si>
    <t>Pae 60-13</t>
  </si>
  <si>
    <t>Paul</t>
  </si>
  <si>
    <t>Naaber</t>
  </si>
  <si>
    <t>Tamsalu</t>
  </si>
  <si>
    <t>Mustamäe tee 195-48</t>
  </si>
  <si>
    <t>Ando</t>
  </si>
  <si>
    <t>Nõmmik</t>
  </si>
  <si>
    <t>Mahtra 25-105</t>
  </si>
  <si>
    <t>ratsutamine</t>
  </si>
  <si>
    <t>Toomsalu</t>
  </si>
  <si>
    <t>Vähk</t>
  </si>
  <si>
    <t>Juuli</t>
  </si>
  <si>
    <t>Ainsaar</t>
  </si>
  <si>
    <t>lukksepp</t>
  </si>
  <si>
    <t>Valga</t>
  </si>
  <si>
    <t>Raudla 30a-20</t>
  </si>
  <si>
    <t>Marmor</t>
  </si>
  <si>
    <t>meister</t>
  </si>
  <si>
    <t>Arbi 2-155</t>
  </si>
  <si>
    <t>Kaivo</t>
  </si>
  <si>
    <t>Mets</t>
  </si>
  <si>
    <t>Tapa</t>
  </si>
  <si>
    <t>Virbi 4-132</t>
  </si>
  <si>
    <t>jalgpall</t>
  </si>
  <si>
    <t>Ene</t>
  </si>
  <si>
    <t>Elmik</t>
  </si>
  <si>
    <t>Kivimurru 11 - 10</t>
  </si>
  <si>
    <t>Tarmo</t>
  </si>
  <si>
    <t>Müller</t>
  </si>
  <si>
    <t>Tõrva</t>
  </si>
  <si>
    <t>Maleva 2b-11</t>
  </si>
  <si>
    <t>Kristel</t>
  </si>
  <si>
    <t>Astok</t>
  </si>
  <si>
    <t>Kolde 88-79</t>
  </si>
  <si>
    <t>jalgrattasport</t>
  </si>
  <si>
    <t>Vilma</t>
  </si>
  <si>
    <t>Ümera 24-5</t>
  </si>
  <si>
    <t>Heinlo</t>
  </si>
  <si>
    <t>Odra 4-1</t>
  </si>
  <si>
    <t>Jürimäe</t>
  </si>
  <si>
    <t>Akadeemia tee 62-75</t>
  </si>
  <si>
    <t>lumelauasõit</t>
  </si>
  <si>
    <t>Müürsepp</t>
  </si>
  <si>
    <t>Vändra</t>
  </si>
  <si>
    <t>Eevald</t>
  </si>
  <si>
    <t>Parts</t>
  </si>
  <si>
    <t>Sõle 61-19</t>
  </si>
  <si>
    <t>Marko</t>
  </si>
  <si>
    <t>Erikson</t>
  </si>
  <si>
    <t>Haapsalu</t>
  </si>
  <si>
    <t>Laubre</t>
  </si>
  <si>
    <t>Jõhvi</t>
  </si>
  <si>
    <t>Roheline 3</t>
  </si>
  <si>
    <t>Evi</t>
  </si>
  <si>
    <t>Sarapik</t>
  </si>
  <si>
    <t>Katy</t>
  </si>
  <si>
    <t>Veesimaa</t>
  </si>
  <si>
    <t>referent</t>
  </si>
  <si>
    <t>Paasiku 28-3</t>
  </si>
  <si>
    <t>Helen</t>
  </si>
  <si>
    <t>Aigro</t>
  </si>
  <si>
    <t>sekretär</t>
  </si>
  <si>
    <t>Randla 13 - 619</t>
  </si>
  <si>
    <t>Laine</t>
  </si>
  <si>
    <t>Eek</t>
  </si>
  <si>
    <t>Õismäe tee 105-44</t>
  </si>
  <si>
    <t>Aigi</t>
  </si>
  <si>
    <t>Härm</t>
  </si>
  <si>
    <t>Saku</t>
  </si>
  <si>
    <t>Sirje</t>
  </si>
  <si>
    <t>Kaasik</t>
  </si>
  <si>
    <t>Pärnu mnt 453A-19</t>
  </si>
  <si>
    <t>Boris</t>
  </si>
  <si>
    <t>Küünemäe</t>
  </si>
  <si>
    <t>Kopli 65/2-5</t>
  </si>
  <si>
    <t>Oks</t>
  </si>
  <si>
    <t>Liiva 7a-3</t>
  </si>
  <si>
    <t>Hanno</t>
  </si>
  <si>
    <t>Pedak</t>
  </si>
  <si>
    <t>Läänemere tee 17-216</t>
  </si>
  <si>
    <t>Jana</t>
  </si>
  <si>
    <t>Kaal</t>
  </si>
  <si>
    <t>Nurga 4-98</t>
  </si>
  <si>
    <t>Erika</t>
  </si>
  <si>
    <t>Kasemets</t>
  </si>
  <si>
    <t>Põlva</t>
  </si>
  <si>
    <t>Lasnamäe 50/10-23</t>
  </si>
  <si>
    <t>Kukk</t>
  </si>
  <si>
    <t>Kärberi 14 - 2</t>
  </si>
  <si>
    <t>Valve</t>
  </si>
  <si>
    <t>Mäesalu</t>
  </si>
  <si>
    <t>Sepa 2 - 3</t>
  </si>
  <si>
    <t>Evelin</t>
  </si>
  <si>
    <t>Põld</t>
  </si>
  <si>
    <t>Võidu 80</t>
  </si>
  <si>
    <t>Hilja</t>
  </si>
  <si>
    <t>Raid</t>
  </si>
  <si>
    <t>Võru 2-122</t>
  </si>
  <si>
    <t>Juulia</t>
  </si>
  <si>
    <t>Tubin</t>
  </si>
  <si>
    <t>Vana-Kalamaja 7-9</t>
  </si>
  <si>
    <t>Maarja</t>
  </si>
  <si>
    <t>Ambros</t>
  </si>
  <si>
    <t>Ümera 60-45</t>
  </si>
  <si>
    <t>Einar</t>
  </si>
  <si>
    <t>Ehala</t>
  </si>
  <si>
    <t>treial</t>
  </si>
  <si>
    <t>Andrus</t>
  </si>
  <si>
    <t>Koort</t>
  </si>
  <si>
    <t>Türi</t>
  </si>
  <si>
    <t>Taime 19 - 5</t>
  </si>
  <si>
    <t>Detsember</t>
  </si>
  <si>
    <t>Ahti</t>
  </si>
  <si>
    <t>Karl</t>
  </si>
  <si>
    <t>Agur</t>
  </si>
  <si>
    <t>Ringi 3-18</t>
  </si>
  <si>
    <t>Bauman</t>
  </si>
  <si>
    <t>Raadiku 19-73</t>
  </si>
  <si>
    <t>Rapla</t>
  </si>
  <si>
    <t>Sõpruse pst 250 - 144</t>
  </si>
  <si>
    <t>Olav</t>
  </si>
  <si>
    <t>Paekaare 58-51</t>
  </si>
  <si>
    <t>Erna</t>
  </si>
  <si>
    <t>Narva</t>
  </si>
  <si>
    <t>Õismäe tee 21-10</t>
  </si>
  <si>
    <t>Elson</t>
  </si>
  <si>
    <t>Puhangu 4-14</t>
  </si>
  <si>
    <t>Leida</t>
  </si>
  <si>
    <t>Kihnu 16-39</t>
  </si>
  <si>
    <t>Meelis</t>
  </si>
  <si>
    <t>Kalju</t>
  </si>
  <si>
    <t>Vuti 67</t>
  </si>
  <si>
    <t>Kreen</t>
  </si>
  <si>
    <t>Ümera 6 -- 53</t>
  </si>
  <si>
    <t>Riho</t>
  </si>
  <si>
    <t>Kuusk</t>
  </si>
  <si>
    <t>Mustamäe tee 195-102</t>
  </si>
  <si>
    <t>Raivo</t>
  </si>
  <si>
    <t>Lokk</t>
  </si>
  <si>
    <t>Koorti 18-24</t>
  </si>
  <si>
    <t>Eino</t>
  </si>
  <si>
    <t>Luige</t>
  </si>
  <si>
    <t>Sõpruse pst 246-40</t>
  </si>
  <si>
    <t>Madis</t>
  </si>
  <si>
    <t>Maasalu</t>
  </si>
  <si>
    <t>Sindi</t>
  </si>
  <si>
    <t>Ehte 5-28</t>
  </si>
  <si>
    <t>Kagu 13-4</t>
  </si>
  <si>
    <t>Markus</t>
  </si>
  <si>
    <t>Kohtla-Järve</t>
  </si>
  <si>
    <t>Meigas</t>
  </si>
  <si>
    <t>Ehitajate tee 68-21</t>
  </si>
  <si>
    <t>Muld</t>
  </si>
  <si>
    <t>Liinamäe 35-37</t>
  </si>
  <si>
    <t>Norak</t>
  </si>
  <si>
    <t>Kivila 16-71</t>
  </si>
  <si>
    <t>Paasiku 4-101</t>
  </si>
  <si>
    <t>Pajusaar</t>
  </si>
  <si>
    <t>Linnamäe 25-204</t>
  </si>
  <si>
    <t>Selma</t>
  </si>
  <si>
    <t>Parre</t>
  </si>
  <si>
    <t>Kalevipoja 11-110</t>
  </si>
  <si>
    <t>Paulus</t>
  </si>
  <si>
    <t>Sõle 5-10</t>
  </si>
  <si>
    <t>Petrov</t>
  </si>
  <si>
    <t>Raadiku 1 - 23</t>
  </si>
  <si>
    <t>Põldmaa</t>
  </si>
  <si>
    <t>Paekaare 62-53</t>
  </si>
  <si>
    <t>Argo</t>
  </si>
  <si>
    <t>Salu</t>
  </si>
  <si>
    <t>Keskuse 14-44</t>
  </si>
  <si>
    <t>Kustav</t>
  </si>
  <si>
    <t>Vikerlase 17-87</t>
  </si>
  <si>
    <t>Arvi</t>
  </si>
  <si>
    <t>Väljas</t>
  </si>
  <si>
    <t>Kibuvitsa 3-3</t>
  </si>
  <si>
    <t>Pulk</t>
  </si>
  <si>
    <t>valvur</t>
  </si>
  <si>
    <t>Raudla 30A-20</t>
  </si>
  <si>
    <t>tingimuspiirkond</t>
  </si>
  <si>
    <t>eesnimi</t>
  </si>
  <si>
    <t>perenimi</t>
  </si>
  <si>
    <t>linn</t>
  </si>
  <si>
    <t>amet</t>
  </si>
  <si>
    <t>palk</t>
  </si>
  <si>
    <t>sugu</t>
  </si>
  <si>
    <t>huviala</t>
  </si>
  <si>
    <t>pereseis</t>
  </si>
  <si>
    <t>koostatud funktsioon "isadepäev"</t>
  </si>
  <si>
    <t>koostatud funktsioon "varia"</t>
  </si>
  <si>
    <t>kolmnurga ümbermõõt VBA fn'ga</t>
  </si>
  <si>
    <t>B)</t>
  </si>
  <si>
    <t>A)</t>
  </si>
  <si>
    <t>VBA funktsioonide loomine, mis:
a) leiab veerust väikseima arvu, mille lahter on kollase taustavärviga;
b) leiab veerust kolmega jaguvate ning  kollase taustavärviga arvude aritmeetilise keskmise.</t>
  </si>
  <si>
    <t>kollastest paaritutest arvudest väikseima väärtusega</t>
  </si>
  <si>
    <t xml:space="preserve">kollastest lahtritest kolmega jaguvate arvude aritmeetiline keskmise </t>
  </si>
  <si>
    <t>Tabel A</t>
  </si>
  <si>
    <t>Tabel B</t>
  </si>
  <si>
    <t/>
  </si>
  <si>
    <t>Tulemus</t>
  </si>
  <si>
    <t>ANDMED</t>
  </si>
  <si>
    <t>VBA programm, mis leiab lehelt "inimesed" kõik tulemused, mis vastavad antud tingimuspiirkonnas kehtestatud tingimustele, kasutades advanced filter ning väljamõeldud inimeste andmeid</t>
  </si>
  <si>
    <t>väljamõeldud_inimesed</t>
  </si>
  <si>
    <t>Funktsioonide loomine VBA'ga:
 A) leiab isadepäeva kuupäeva vastavalt aastale
 B) leiab, kas kõik väärtused on arvud ning kas selliste pikkustega lõigud saaksid moodustada kolmnurga</t>
  </si>
  <si>
    <t>VBA protseduurid, mis:
a) leiab tabeli A teisest veerust kõik lahtrid, mis sisaldavad arvväärtust ning mis ei ole paksus kirjas (Bold), ja värvib need lahtrid roheliseks;
b) kopeerib tabeli B kolmandast veerust kõik lahtrid, mis sisaldavad ühesõnalist teksti, mille esimene täht on suurtäht.</t>
  </si>
  <si>
    <t>a)</t>
  </si>
  <si>
    <t>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</si>
</sst>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d\.mm\.yyyy"/>
    <numFmt numFmtId="166" formatCode="_-* #,##0\ [$€-425]_-;\-* #,##0\ [$€-425]_-;_-* &quot;-&quot;??\ [$€-425]_-;_-@_-"/>
  </numFmts>
  <fonts count="28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1"/>
      <color rgb="FFFF0000"/>
      <name val="Calibri"/>
      <family val="2"/>
      <charset val="186"/>
      <scheme val="minor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i/>
      <sz val="11"/>
      <color theme="1"/>
      <name val="TimesNewRoman"/>
      <charset val="186"/>
    </font>
    <font>
      <sz val="11"/>
      <color theme="1"/>
      <name val="TimesNewRoman"/>
      <charset val="186"/>
    </font>
    <font>
      <b/>
      <sz val="11"/>
      <color theme="1"/>
      <name val="TimesNewRoman"/>
      <charset val="186"/>
    </font>
    <font>
      <b/>
      <i/>
      <sz val="11"/>
      <color theme="1"/>
      <name val="Arial"/>
      <family val="2"/>
    </font>
    <font>
      <b/>
      <i/>
      <sz val="11"/>
      <color theme="1"/>
      <name val="TimesNewRoman"/>
      <charset val="186"/>
    </font>
    <font>
      <sz val="11"/>
      <color theme="1"/>
      <name val="Arial"/>
      <family val="2"/>
    </font>
    <font>
      <sz val="11"/>
      <color theme="1"/>
      <name val="Arial"/>
      <family val="2"/>
      <charset val="186"/>
    </font>
    <font>
      <b/>
      <sz val="11"/>
      <name val="Calibri"/>
      <family val="2"/>
      <charset val="186"/>
      <scheme val="minor"/>
    </font>
    <font>
      <sz val="11"/>
      <name val="Calibri"/>
      <family val="2"/>
      <charset val="186"/>
      <scheme val="minor"/>
    </font>
    <font>
      <i/>
      <sz val="11"/>
      <color theme="1"/>
      <name val="Calibri"/>
      <family val="2"/>
      <charset val="186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charset val="186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charset val="186"/>
      <scheme val="minor"/>
    </font>
    <font>
      <b/>
      <i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6" fillId="0" borderId="0" applyNumberForma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14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5" borderId="0" xfId="0" applyFill="1"/>
    <xf numFmtId="0" fontId="0" fillId="8" borderId="0" xfId="0" applyFill="1"/>
    <xf numFmtId="0" fontId="0" fillId="9" borderId="0" xfId="0" applyFill="1"/>
    <xf numFmtId="0" fontId="0" fillId="6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3" fontId="0" fillId="15" borderId="1" xfId="0" applyNumberFormat="1" applyFill="1" applyBorder="1"/>
    <xf numFmtId="0" fontId="5" fillId="0" borderId="0" xfId="0" applyFont="1"/>
    <xf numFmtId="0" fontId="6" fillId="0" borderId="0" xfId="0" applyFont="1"/>
    <xf numFmtId="165" fontId="0" fillId="0" borderId="0" xfId="0" applyNumberFormat="1"/>
    <xf numFmtId="14" fontId="12" fillId="0" borderId="1" xfId="0" applyNumberFormat="1" applyFont="1" applyBorder="1"/>
    <xf numFmtId="14" fontId="10" fillId="0" borderId="1" xfId="0" applyNumberFormat="1" applyFont="1" applyBorder="1"/>
    <xf numFmtId="14" fontId="6" fillId="0" borderId="1" xfId="0" applyNumberFormat="1" applyFont="1" applyBorder="1"/>
    <xf numFmtId="0" fontId="9" fillId="0" borderId="2" xfId="0" applyFont="1" applyBorder="1"/>
    <xf numFmtId="0" fontId="13" fillId="0" borderId="0" xfId="0" applyFont="1"/>
    <xf numFmtId="165" fontId="8" fillId="0" borderId="2" xfId="0" applyNumberFormat="1" applyFont="1" applyBorder="1"/>
    <xf numFmtId="165" fontId="12" fillId="0" borderId="2" xfId="0" applyNumberFormat="1" applyFont="1" applyBorder="1"/>
    <xf numFmtId="0" fontId="10" fillId="0" borderId="2" xfId="0" applyFont="1" applyBorder="1"/>
    <xf numFmtId="165" fontId="10" fillId="0" borderId="0" xfId="0" applyNumberFormat="1" applyFont="1"/>
    <xf numFmtId="0" fontId="7" fillId="0" borderId="0" xfId="0" applyFont="1"/>
    <xf numFmtId="0" fontId="8" fillId="0" borderId="0" xfId="0" applyFont="1"/>
    <xf numFmtId="0" fontId="12" fillId="0" borderId="0" xfId="0" applyFont="1"/>
    <xf numFmtId="0" fontId="11" fillId="0" borderId="0" xfId="0" applyFont="1"/>
    <xf numFmtId="165" fontId="7" fillId="0" borderId="0" xfId="0" applyNumberFormat="1" applyFont="1"/>
    <xf numFmtId="0" fontId="14" fillId="16" borderId="1" xfId="1" applyFont="1" applyFill="1" applyBorder="1" applyAlignment="1">
      <alignment horizontal="left"/>
    </xf>
    <xf numFmtId="0" fontId="14" fillId="16" borderId="1" xfId="1" applyFont="1" applyFill="1" applyBorder="1"/>
    <xf numFmtId="3" fontId="14" fillId="16" borderId="1" xfId="1" applyNumberFormat="1" applyFont="1" applyFill="1" applyBorder="1" applyAlignment="1">
      <alignment horizontal="right"/>
    </xf>
    <xf numFmtId="0" fontId="15" fillId="0" borderId="0" xfId="1" applyFont="1"/>
    <xf numFmtId="1" fontId="15" fillId="0" borderId="0" xfId="1" applyNumberFormat="1" applyFont="1" applyAlignment="1">
      <alignment horizontal="right"/>
    </xf>
    <xf numFmtId="14" fontId="15" fillId="0" borderId="0" xfId="1" applyNumberFormat="1" applyFont="1" applyAlignment="1">
      <alignment horizontal="right"/>
    </xf>
    <xf numFmtId="1" fontId="15" fillId="0" borderId="0" xfId="1" applyNumberFormat="1" applyFont="1" applyAlignment="1">
      <alignment horizontal="left"/>
    </xf>
    <xf numFmtId="166" fontId="1" fillId="0" borderId="0" xfId="1" applyNumberFormat="1"/>
    <xf numFmtId="3" fontId="15" fillId="0" borderId="0" xfId="1" applyNumberFormat="1" applyFont="1" applyAlignment="1">
      <alignment horizontal="right"/>
    </xf>
    <xf numFmtId="0" fontId="15" fillId="0" borderId="0" xfId="1" applyFont="1" applyAlignment="1">
      <alignment horizontal="left"/>
    </xf>
    <xf numFmtId="0" fontId="16" fillId="0" borderId="0" xfId="0" applyFont="1"/>
    <xf numFmtId="0" fontId="0" fillId="16" borderId="1" xfId="0" applyFill="1" applyBorder="1"/>
    <xf numFmtId="0" fontId="17" fillId="16" borderId="1" xfId="1" applyFont="1" applyFill="1" applyBorder="1" applyAlignment="1">
      <alignment horizontal="left"/>
    </xf>
    <xf numFmtId="49" fontId="15" fillId="0" borderId="0" xfId="1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1" xfId="0" applyBorder="1"/>
    <xf numFmtId="164" fontId="0" fillId="2" borderId="1" xfId="0" applyNumberFormat="1" applyFill="1" applyBorder="1"/>
    <xf numFmtId="0" fontId="2" fillId="17" borderId="1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left"/>
    </xf>
    <xf numFmtId="0" fontId="0" fillId="3" borderId="1" xfId="0" applyFill="1" applyBorder="1"/>
    <xf numFmtId="14" fontId="0" fillId="0" borderId="1" xfId="0" applyNumberFormat="1" applyBorder="1"/>
    <xf numFmtId="2" fontId="0" fillId="0" borderId="1" xfId="0" applyNumberFormat="1" applyBorder="1"/>
    <xf numFmtId="0" fontId="2" fillId="17" borderId="1" xfId="0" applyFont="1" applyFill="1" applyBorder="1"/>
    <xf numFmtId="0" fontId="0" fillId="6" borderId="11" xfId="0" applyFill="1" applyBorder="1"/>
    <xf numFmtId="0" fontId="0" fillId="4" borderId="11" xfId="0" applyFill="1" applyBorder="1"/>
    <xf numFmtId="0" fontId="0" fillId="5" borderId="11" xfId="0" applyFill="1" applyBorder="1"/>
    <xf numFmtId="0" fontId="0" fillId="0" borderId="1" xfId="0" applyBorder="1" applyAlignment="1">
      <alignment wrapText="1"/>
    </xf>
    <xf numFmtId="0" fontId="0" fillId="17" borderId="1" xfId="0" applyFill="1" applyBorder="1" applyAlignment="1">
      <alignment wrapText="1"/>
    </xf>
    <xf numFmtId="14" fontId="5" fillId="0" borderId="1" xfId="0" applyNumberFormat="1" applyFont="1" applyBorder="1"/>
    <xf numFmtId="14" fontId="21" fillId="0" borderId="1" xfId="0" applyNumberFormat="1" applyFont="1" applyBorder="1"/>
    <xf numFmtId="14" fontId="22" fillId="0" borderId="1" xfId="0" applyNumberFormat="1" applyFont="1" applyBorder="1"/>
    <xf numFmtId="14" fontId="23" fillId="0" borderId="1" xfId="0" applyNumberFormat="1" applyFont="1" applyBorder="1"/>
    <xf numFmtId="14" fontId="24" fillId="0" borderId="1" xfId="0" applyNumberFormat="1" applyFont="1" applyBorder="1"/>
    <xf numFmtId="0" fontId="0" fillId="17" borderId="1" xfId="0" applyFill="1" applyBorder="1"/>
    <xf numFmtId="0" fontId="18" fillId="17" borderId="12" xfId="0" applyFont="1" applyFill="1" applyBorder="1"/>
    <xf numFmtId="0" fontId="18" fillId="0" borderId="0" xfId="0" applyFont="1"/>
    <xf numFmtId="0" fontId="26" fillId="0" borderId="1" xfId="2" applyBorder="1" applyAlignment="1">
      <alignment wrapText="1"/>
    </xf>
    <xf numFmtId="0" fontId="5" fillId="0" borderId="1" xfId="0" applyFont="1" applyBorder="1"/>
    <xf numFmtId="0" fontId="22" fillId="0" borderId="1" xfId="0" applyFont="1" applyBorder="1"/>
    <xf numFmtId="0" fontId="23" fillId="0" borderId="1" xfId="0" applyFont="1" applyBorder="1"/>
    <xf numFmtId="0" fontId="21" fillId="0" borderId="1" xfId="0" applyFont="1" applyBorder="1"/>
    <xf numFmtId="0" fontId="24" fillId="0" borderId="1" xfId="0" applyFont="1" applyBorder="1"/>
    <xf numFmtId="0" fontId="6" fillId="0" borderId="1" xfId="0" applyFont="1" applyBorder="1"/>
    <xf numFmtId="0" fontId="12" fillId="18" borderId="1" xfId="0" applyFont="1" applyFill="1" applyBorder="1"/>
    <xf numFmtId="0" fontId="12" fillId="0" borderId="1" xfId="0" applyFont="1" applyBorder="1"/>
    <xf numFmtId="0" fontId="6" fillId="18" borderId="1" xfId="0" applyFont="1" applyFill="1" applyBorder="1"/>
    <xf numFmtId="0" fontId="10" fillId="0" borderId="1" xfId="0" applyFont="1" applyBorder="1"/>
    <xf numFmtId="0" fontId="21" fillId="18" borderId="1" xfId="0" applyFont="1" applyFill="1" applyBorder="1"/>
    <xf numFmtId="1" fontId="0" fillId="4" borderId="13" xfId="0" applyNumberFormat="1" applyFill="1" applyBorder="1" applyAlignment="1">
      <alignment horizontal="left"/>
    </xf>
    <xf numFmtId="0" fontId="0" fillId="19" borderId="3" xfId="0" applyFill="1" applyBorder="1"/>
    <xf numFmtId="0" fontId="0" fillId="19" borderId="4" xfId="0" applyFill="1" applyBorder="1"/>
    <xf numFmtId="0" fontId="0" fillId="19" borderId="5" xfId="0" applyFill="1" applyBorder="1"/>
    <xf numFmtId="0" fontId="0" fillId="19" borderId="6" xfId="0" applyFill="1" applyBorder="1"/>
    <xf numFmtId="0" fontId="0" fillId="19" borderId="0" xfId="0" applyFill="1"/>
    <xf numFmtId="0" fontId="0" fillId="19" borderId="7" xfId="0" applyFill="1" applyBorder="1"/>
    <xf numFmtId="0" fontId="18" fillId="19" borderId="6" xfId="0" applyFont="1" applyFill="1" applyBorder="1"/>
    <xf numFmtId="0" fontId="3" fillId="19" borderId="6" xfId="0" applyFont="1" applyFill="1" applyBorder="1" applyAlignment="1">
      <alignment horizontal="left"/>
    </xf>
    <xf numFmtId="0" fontId="3" fillId="19" borderId="6" xfId="0" applyFont="1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0" xfId="0" applyFill="1" applyBorder="1"/>
    <xf numFmtId="0" fontId="24" fillId="18" borderId="1" xfId="0" applyFont="1" applyFill="1" applyBorder="1"/>
    <xf numFmtId="0" fontId="18" fillId="17" borderId="1" xfId="0" applyFont="1" applyFill="1" applyBorder="1" applyAlignment="1">
      <alignment horizontal="center"/>
    </xf>
    <xf numFmtId="0" fontId="20" fillId="0" borderId="3" xfId="0" applyFont="1" applyBorder="1" applyAlignment="1">
      <alignment horizontal="center" wrapText="1"/>
    </xf>
    <xf numFmtId="0" fontId="20" fillId="0" borderId="4" xfId="0" applyFont="1" applyBorder="1" applyAlignment="1">
      <alignment horizontal="center" wrapText="1"/>
    </xf>
    <xf numFmtId="0" fontId="20" fillId="0" borderId="5" xfId="0" applyFont="1" applyBorder="1" applyAlignment="1">
      <alignment horizontal="center" wrapText="1"/>
    </xf>
    <xf numFmtId="0" fontId="20" fillId="0" borderId="6" xfId="0" applyFont="1" applyBorder="1" applyAlignment="1">
      <alignment horizontal="center" wrapText="1"/>
    </xf>
    <xf numFmtId="0" fontId="20" fillId="0" borderId="0" xfId="0" applyFont="1" applyAlignment="1">
      <alignment horizontal="center" wrapText="1"/>
    </xf>
    <xf numFmtId="0" fontId="20" fillId="0" borderId="7" xfId="0" applyFont="1" applyBorder="1" applyAlignment="1">
      <alignment horizontal="center" wrapText="1"/>
    </xf>
    <xf numFmtId="0" fontId="20" fillId="0" borderId="8" xfId="0" applyFont="1" applyBorder="1" applyAlignment="1">
      <alignment horizontal="center" wrapText="1"/>
    </xf>
    <xf numFmtId="0" fontId="20" fillId="0" borderId="9" xfId="0" applyFont="1" applyBorder="1" applyAlignment="1">
      <alignment horizontal="center" wrapText="1"/>
    </xf>
    <xf numFmtId="0" fontId="20" fillId="0" borderId="10" xfId="0" applyFont="1" applyBorder="1" applyAlignment="1">
      <alignment horizontal="center" wrapText="1"/>
    </xf>
    <xf numFmtId="0" fontId="19" fillId="0" borderId="3" xfId="0" applyFont="1" applyBorder="1" applyAlignment="1">
      <alignment horizontal="center" wrapText="1"/>
    </xf>
    <xf numFmtId="0" fontId="19" fillId="0" borderId="4" xfId="0" applyFont="1" applyBorder="1" applyAlignment="1">
      <alignment horizontal="center" wrapText="1"/>
    </xf>
    <xf numFmtId="0" fontId="19" fillId="0" borderId="5" xfId="0" applyFont="1" applyBorder="1" applyAlignment="1">
      <alignment horizontal="center" wrapText="1"/>
    </xf>
    <xf numFmtId="0" fontId="19" fillId="0" borderId="6" xfId="0" applyFont="1" applyBorder="1" applyAlignment="1">
      <alignment horizontal="center" wrapText="1"/>
    </xf>
    <xf numFmtId="0" fontId="19" fillId="0" borderId="0" xfId="0" applyFont="1" applyAlignment="1">
      <alignment horizontal="center" wrapText="1"/>
    </xf>
    <xf numFmtId="0" fontId="19" fillId="0" borderId="7" xfId="0" applyFont="1" applyBorder="1" applyAlignment="1">
      <alignment horizontal="center" wrapText="1"/>
    </xf>
    <xf numFmtId="0" fontId="19" fillId="0" borderId="8" xfId="0" applyFont="1" applyBorder="1" applyAlignment="1">
      <alignment horizontal="center" wrapText="1"/>
    </xf>
    <xf numFmtId="0" fontId="19" fillId="0" borderId="9" xfId="0" applyFont="1" applyBorder="1" applyAlignment="1">
      <alignment horizontal="center" wrapText="1"/>
    </xf>
    <xf numFmtId="0" fontId="19" fillId="0" borderId="10" xfId="0" applyFont="1" applyBorder="1" applyAlignment="1">
      <alignment horizontal="center" wrapText="1"/>
    </xf>
    <xf numFmtId="0" fontId="27" fillId="17" borderId="1" xfId="0" applyFont="1" applyFill="1" applyBorder="1" applyAlignment="1">
      <alignment horizontal="center"/>
    </xf>
    <xf numFmtId="0" fontId="25" fillId="0" borderId="3" xfId="0" applyFont="1" applyBorder="1" applyAlignment="1">
      <alignment horizontal="center" wrapText="1"/>
    </xf>
    <xf numFmtId="0" fontId="25" fillId="0" borderId="4" xfId="0" applyFont="1" applyBorder="1" applyAlignment="1">
      <alignment horizontal="center" wrapText="1"/>
    </xf>
    <xf numFmtId="0" fontId="25" fillId="0" borderId="5" xfId="0" applyFont="1" applyBorder="1" applyAlignment="1">
      <alignment horizontal="center" wrapText="1"/>
    </xf>
    <xf numFmtId="0" fontId="25" fillId="0" borderId="6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7" xfId="0" applyFont="1" applyBorder="1" applyAlignment="1">
      <alignment horizontal="center" wrapText="1"/>
    </xf>
    <xf numFmtId="0" fontId="25" fillId="0" borderId="8" xfId="0" applyFont="1" applyBorder="1" applyAlignment="1">
      <alignment horizontal="center" wrapText="1"/>
    </xf>
    <xf numFmtId="0" fontId="25" fillId="0" borderId="9" xfId="0" applyFont="1" applyBorder="1" applyAlignment="1">
      <alignment horizontal="center" wrapText="1"/>
    </xf>
    <xf numFmtId="0" fontId="25" fillId="0" borderId="10" xfId="0" applyFont="1" applyBorder="1" applyAlignment="1">
      <alignment horizontal="center" wrapText="1"/>
    </xf>
  </cellXfs>
  <cellStyles count="3">
    <cellStyle name="Hyperlink" xfId="2" builtinId="8"/>
    <cellStyle name="Normal" xfId="0" builtinId="0"/>
    <cellStyle name="Normal 4" xfId="1" xr:uid="{3DC5D9E4-94D2-4237-BF87-91E64AD481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0</xdr:row>
          <xdr:rowOff>114300</xdr:rowOff>
        </xdr:from>
        <xdr:to>
          <xdr:col>13</xdr:col>
          <xdr:colOff>868680</xdr:colOff>
          <xdr:row>2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Muuda andmeid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3</xdr:row>
          <xdr:rowOff>99060</xdr:rowOff>
        </xdr:from>
        <xdr:to>
          <xdr:col>13</xdr:col>
          <xdr:colOff>838200</xdr:colOff>
          <xdr:row>5</xdr:row>
          <xdr:rowOff>121920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Muuda vorming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10</xdr:row>
          <xdr:rowOff>7620</xdr:rowOff>
        </xdr:from>
        <xdr:to>
          <xdr:col>13</xdr:col>
          <xdr:colOff>830580</xdr:colOff>
          <xdr:row>12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Andmete ümberkopeerimine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6</xdr:row>
          <xdr:rowOff>83820</xdr:rowOff>
        </xdr:from>
        <xdr:to>
          <xdr:col>13</xdr:col>
          <xdr:colOff>807720</xdr:colOff>
          <xdr:row>8</xdr:row>
          <xdr:rowOff>129540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Numbrite värvimine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350520</xdr:colOff>
          <xdr:row>4</xdr:row>
          <xdr:rowOff>99060</xdr:rowOff>
        </xdr:from>
        <xdr:to>
          <xdr:col>14</xdr:col>
          <xdr:colOff>327660</xdr:colOff>
          <xdr:row>6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advanced filter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C9B78-B934-4624-BF28-30A187456F39}">
  <sheetPr codeName="Sheet2"/>
  <dimension ref="A1:N51"/>
  <sheetViews>
    <sheetView zoomScale="76" zoomScaleNormal="100" workbookViewId="0">
      <selection activeCell="O12" sqref="O12"/>
    </sheetView>
  </sheetViews>
  <sheetFormatPr defaultRowHeight="14.4"/>
  <cols>
    <col min="3" max="3" width="25.77734375" bestFit="1" customWidth="1"/>
    <col min="7" max="7" width="12.5546875" customWidth="1"/>
    <col min="8" max="8" width="13.77734375" customWidth="1"/>
    <col min="9" max="9" width="15.44140625" customWidth="1"/>
    <col min="10" max="10" width="30.21875" bestFit="1" customWidth="1"/>
    <col min="13" max="13" width="8.44140625" customWidth="1"/>
    <col min="14" max="14" width="10.21875" hidden="1" customWidth="1"/>
  </cols>
  <sheetData>
    <row r="1" spans="1:14" ht="14.4" customHeight="1">
      <c r="A1" s="1"/>
      <c r="C1" s="109" t="s">
        <v>463</v>
      </c>
      <c r="D1" s="110"/>
      <c r="E1" s="110"/>
      <c r="F1" s="110"/>
      <c r="G1" s="110"/>
      <c r="H1" s="110"/>
      <c r="I1" s="110"/>
      <c r="J1" s="111"/>
    </row>
    <row r="2" spans="1:14" ht="14.4" customHeight="1">
      <c r="B2" s="3"/>
      <c r="C2" s="112"/>
      <c r="D2" s="113"/>
      <c r="E2" s="113"/>
      <c r="F2" s="113"/>
      <c r="G2" s="113"/>
      <c r="H2" s="113"/>
      <c r="I2" s="113"/>
      <c r="J2" s="114"/>
    </row>
    <row r="3" spans="1:14" ht="14.4" customHeight="1">
      <c r="C3" s="112"/>
      <c r="D3" s="113"/>
      <c r="E3" s="113"/>
      <c r="F3" s="113"/>
      <c r="G3" s="113"/>
      <c r="H3" s="113"/>
      <c r="I3" s="113"/>
      <c r="J3" s="114"/>
    </row>
    <row r="4" spans="1:14" ht="14.4" customHeight="1">
      <c r="C4" s="112"/>
      <c r="D4" s="113"/>
      <c r="E4" s="113"/>
      <c r="F4" s="113"/>
      <c r="G4" s="113"/>
      <c r="H4" s="113"/>
      <c r="I4" s="113"/>
      <c r="J4" s="114"/>
    </row>
    <row r="5" spans="1:14" ht="14.4" customHeight="1">
      <c r="C5" s="112"/>
      <c r="D5" s="113"/>
      <c r="E5" s="113"/>
      <c r="F5" s="113"/>
      <c r="G5" s="113"/>
      <c r="H5" s="113"/>
      <c r="I5" s="113"/>
      <c r="J5" s="114"/>
    </row>
    <row r="6" spans="1:14" ht="15" customHeight="1">
      <c r="C6" s="112"/>
      <c r="D6" s="113"/>
      <c r="E6" s="113"/>
      <c r="F6" s="113"/>
      <c r="G6" s="113"/>
      <c r="H6" s="113"/>
      <c r="I6" s="113"/>
      <c r="J6" s="114"/>
    </row>
    <row r="7" spans="1:14" ht="15" thickBot="1">
      <c r="C7" s="115"/>
      <c r="D7" s="116"/>
      <c r="E7" s="116"/>
      <c r="F7" s="116"/>
      <c r="G7" s="116"/>
      <c r="H7" s="116"/>
      <c r="I7" s="116"/>
      <c r="J7" s="117"/>
    </row>
    <row r="9" spans="1:14">
      <c r="A9" s="72" t="s">
        <v>452</v>
      </c>
      <c r="F9" s="72" t="s">
        <v>451</v>
      </c>
    </row>
    <row r="10" spans="1:14">
      <c r="B10" s="99" t="s">
        <v>448</v>
      </c>
      <c r="C10" s="99"/>
      <c r="G10" s="99" t="s">
        <v>449</v>
      </c>
      <c r="H10" s="99"/>
      <c r="I10" s="99"/>
      <c r="J10" s="99"/>
    </row>
    <row r="11" spans="1:14">
      <c r="B11" s="54" t="s">
        <v>0</v>
      </c>
      <c r="C11" s="55" t="s">
        <v>1</v>
      </c>
      <c r="G11" s="59" t="s">
        <v>2</v>
      </c>
      <c r="H11" s="59" t="s">
        <v>3</v>
      </c>
      <c r="I11" s="59" t="s">
        <v>4</v>
      </c>
      <c r="J11" s="59" t="s">
        <v>450</v>
      </c>
      <c r="N11" t="s">
        <v>5</v>
      </c>
    </row>
    <row r="12" spans="1:14">
      <c r="B12" s="52">
        <v>2000</v>
      </c>
      <c r="C12" s="53" cm="1">
        <f t="array" ref="C12">isade_paev(B12)</f>
        <v>36842</v>
      </c>
      <c r="D12" t="str">
        <f ca="1">_xlfn.FORMULATEXT(C12)</f>
        <v>=isade_paev(B12)</v>
      </c>
      <c r="G12" s="52" t="s">
        <v>6</v>
      </c>
      <c r="H12" s="52" t="s">
        <v>7</v>
      </c>
      <c r="I12" s="52" t="s">
        <v>5</v>
      </c>
      <c r="J12" s="56" t="str" cm="1">
        <f t="array" ref="J12">varia(G12,H12,I12)</f>
        <v>kõik väärtused pole arvud!</v>
      </c>
      <c r="K12" t="str">
        <f t="shared" ref="K12:K51" ca="1" si="0">_xlfn.FORMULATEXT(J12)</f>
        <v>=varia(G12;H12;I12)</v>
      </c>
      <c r="N12" t="s">
        <v>8</v>
      </c>
    </row>
    <row r="13" spans="1:14">
      <c r="B13" s="52">
        <v>2001</v>
      </c>
      <c r="C13" s="53" cm="1">
        <f t="array" ref="C13">isade_paev(B13)</f>
        <v>37206</v>
      </c>
      <c r="D13" t="str">
        <f t="shared" ref="D13:D42" ca="1" si="1">_xlfn.FORMULATEXT(C13)</f>
        <v>=isade_paev(B13)</v>
      </c>
      <c r="G13" s="52" t="s">
        <v>9</v>
      </c>
      <c r="H13" s="57">
        <v>38338</v>
      </c>
      <c r="I13" s="57">
        <v>36648</v>
      </c>
      <c r="J13" s="56" t="str" cm="1">
        <f t="array" ref="J13">varia(G13,H13,I13)</f>
        <v>kõik väärtused pole arvud!</v>
      </c>
      <c r="K13" t="str">
        <f t="shared" ca="1" si="0"/>
        <v>=varia(G13;H13;I13)</v>
      </c>
      <c r="N13" t="s">
        <v>9</v>
      </c>
    </row>
    <row r="14" spans="1:14">
      <c r="B14" s="52">
        <v>2002</v>
      </c>
      <c r="C14" s="53" cm="1">
        <f t="array" ref="C14">isade_paev(B14)</f>
        <v>37570</v>
      </c>
      <c r="D14" t="str">
        <f t="shared" ca="1" si="1"/>
        <v>=isade_paev(B14)</v>
      </c>
      <c r="G14" s="57">
        <v>44274</v>
      </c>
      <c r="H14" s="57">
        <v>44318</v>
      </c>
      <c r="I14" s="57">
        <v>44197</v>
      </c>
      <c r="J14" s="56" t="str" cm="1">
        <f t="array" ref="J14">varia(G14,H14,I14)</f>
        <v>kõik väärtused pole arvud!</v>
      </c>
      <c r="K14" t="str">
        <f t="shared" ca="1" si="0"/>
        <v>=varia(G14;H14;I14)</v>
      </c>
      <c r="N14" t="s">
        <v>10</v>
      </c>
    </row>
    <row r="15" spans="1:14">
      <c r="B15" s="52">
        <v>2003</v>
      </c>
      <c r="C15" s="53" cm="1">
        <f t="array" ref="C15">isade_paev(B15)</f>
        <v>37934</v>
      </c>
      <c r="D15" t="str">
        <f t="shared" ca="1" si="1"/>
        <v>=isade_paev(B15)</v>
      </c>
      <c r="G15" s="52">
        <v>7</v>
      </c>
      <c r="H15" s="52">
        <v>56.78</v>
      </c>
      <c r="I15" s="52">
        <v>5.8760000000000003</v>
      </c>
      <c r="J15" s="56" t="str" cm="1">
        <f t="array" ref="J15">varia(G15,H15,I15)</f>
        <v>pole võimalik</v>
      </c>
      <c r="K15" t="str">
        <f t="shared" ca="1" si="0"/>
        <v>=varia(G15;H15;I15)</v>
      </c>
      <c r="N15" t="s">
        <v>11</v>
      </c>
    </row>
    <row r="16" spans="1:14">
      <c r="B16" s="52">
        <v>2004</v>
      </c>
      <c r="C16" s="53" cm="1">
        <f t="array" ref="C16">isade_paev(B16)</f>
        <v>38305</v>
      </c>
      <c r="D16" t="str">
        <f t="shared" ca="1" si="1"/>
        <v>=isade_paev(B16)</v>
      </c>
      <c r="G16" s="57">
        <v>44373</v>
      </c>
      <c r="H16" s="57">
        <v>44285</v>
      </c>
      <c r="I16" s="57">
        <v>44307</v>
      </c>
      <c r="J16" s="56" t="str" cm="1">
        <f t="array" ref="J16">varia(G16,H16,I16)</f>
        <v>kõik väärtused pole arvud!</v>
      </c>
      <c r="K16" t="str">
        <f t="shared" ca="1" si="0"/>
        <v>=varia(G16;H16;I16)</v>
      </c>
      <c r="N16" t="s">
        <v>12</v>
      </c>
    </row>
    <row r="17" spans="2:14">
      <c r="B17" s="52">
        <v>2005</v>
      </c>
      <c r="C17" s="53" cm="1">
        <f t="array" ref="C17">isade_paev(B17)</f>
        <v>38669</v>
      </c>
      <c r="D17" t="str">
        <f t="shared" ca="1" si="1"/>
        <v>=isade_paev(B17)</v>
      </c>
      <c r="G17" s="52">
        <v>44</v>
      </c>
      <c r="H17" s="52" t="s">
        <v>13</v>
      </c>
      <c r="I17" s="52" t="s">
        <v>14</v>
      </c>
      <c r="J17" s="56" t="str" cm="1">
        <f t="array" ref="J17">varia(G17,H17,I17)</f>
        <v>kõik väärtused pole arvud!</v>
      </c>
      <c r="K17" t="str">
        <f t="shared" ca="1" si="0"/>
        <v>=varia(G17;H17;I17)</v>
      </c>
      <c r="N17" t="s">
        <v>15</v>
      </c>
    </row>
    <row r="18" spans="2:14">
      <c r="B18" s="52">
        <v>2006</v>
      </c>
      <c r="C18" s="53" cm="1">
        <f t="array" ref="C18">isade_paev(B18)</f>
        <v>39033</v>
      </c>
      <c r="D18" t="str">
        <f t="shared" ca="1" si="1"/>
        <v>=isade_paev(B18)</v>
      </c>
      <c r="G18" s="52">
        <v>56.78</v>
      </c>
      <c r="H18" s="52">
        <v>7</v>
      </c>
      <c r="I18" s="52">
        <v>50</v>
      </c>
      <c r="J18" s="56" cm="1">
        <f t="array" ref="J18">varia(G18,H18,I18)</f>
        <v>113.78</v>
      </c>
      <c r="K18" t="str">
        <f t="shared" ca="1" si="0"/>
        <v>=varia(G18;H18;I18)</v>
      </c>
      <c r="N18" t="s">
        <v>16</v>
      </c>
    </row>
    <row r="19" spans="2:14">
      <c r="B19" s="52">
        <v>2007</v>
      </c>
      <c r="C19" s="53" cm="1">
        <f t="array" ref="C19">isade_paev(B19)</f>
        <v>39397</v>
      </c>
      <c r="D19" t="str">
        <f t="shared" ca="1" si="1"/>
        <v>=isade_paev(B19)</v>
      </c>
      <c r="G19" s="52">
        <v>4</v>
      </c>
      <c r="H19" s="57">
        <v>44384</v>
      </c>
      <c r="I19" s="52">
        <v>2</v>
      </c>
      <c r="J19" s="56" t="str" cm="1">
        <f t="array" ref="J19">varia(G19,H19,I19)</f>
        <v>kõik väärtused pole arvud!</v>
      </c>
      <c r="K19" t="str">
        <f t="shared" ca="1" si="0"/>
        <v>=varia(G19;H19;I19)</v>
      </c>
      <c r="N19" t="s">
        <v>17</v>
      </c>
    </row>
    <row r="20" spans="2:14">
      <c r="B20" s="52">
        <v>2008</v>
      </c>
      <c r="C20" s="53" cm="1">
        <f t="array" ref="C20">isade_paev(B20)</f>
        <v>39761</v>
      </c>
      <c r="D20" t="str">
        <f t="shared" ca="1" si="1"/>
        <v>=isade_paev(B20)</v>
      </c>
      <c r="G20" s="57">
        <v>39935</v>
      </c>
      <c r="H20" s="57">
        <v>38338</v>
      </c>
      <c r="I20" s="57">
        <v>39935</v>
      </c>
      <c r="J20" s="56" t="str" cm="1">
        <f t="array" ref="J20">varia(G20,H20,I20)</f>
        <v>kõik väärtused pole arvud!</v>
      </c>
      <c r="K20" t="str">
        <f t="shared" ca="1" si="0"/>
        <v>=varia(G20;H20;I20)</v>
      </c>
      <c r="N20" t="s">
        <v>6</v>
      </c>
    </row>
    <row r="21" spans="2:14">
      <c r="B21" s="52">
        <v>2009</v>
      </c>
      <c r="C21" s="53" cm="1">
        <f t="array" ref="C21">isade_paev(B21)</f>
        <v>40125</v>
      </c>
      <c r="D21" t="str">
        <f t="shared" ca="1" si="1"/>
        <v>=isade_paev(B21)</v>
      </c>
      <c r="G21" s="52">
        <v>90</v>
      </c>
      <c r="H21" s="52">
        <v>44</v>
      </c>
      <c r="I21" s="52">
        <v>784.9</v>
      </c>
      <c r="J21" s="56" t="str" cm="1">
        <f t="array" ref="J21">varia(G21,H21,I21)</f>
        <v>pole võimalik</v>
      </c>
      <c r="K21" t="str">
        <f t="shared" ca="1" si="0"/>
        <v>=varia(G21;H21;I21)</v>
      </c>
      <c r="N21" t="s">
        <v>18</v>
      </c>
    </row>
    <row r="22" spans="2:14">
      <c r="B22" s="52">
        <v>2010</v>
      </c>
      <c r="C22" s="53" cm="1">
        <f t="array" ref="C22">isade_paev(B22)</f>
        <v>40496</v>
      </c>
      <c r="D22" t="str">
        <f t="shared" ca="1" si="1"/>
        <v>=isade_paev(B22)</v>
      </c>
      <c r="G22" s="52" t="s">
        <v>19</v>
      </c>
      <c r="H22" s="57" t="s">
        <v>20</v>
      </c>
      <c r="I22" s="52" t="s">
        <v>21</v>
      </c>
      <c r="J22" s="56" t="str" cm="1">
        <f t="array" ref="J22">varia(G22,H22,I22)</f>
        <v>kõik väärtused pole arvud!</v>
      </c>
      <c r="K22" t="str">
        <f t="shared" ca="1" si="0"/>
        <v>=varia(G22;H22;I22)</v>
      </c>
      <c r="N22" t="s">
        <v>22</v>
      </c>
    </row>
    <row r="23" spans="2:14">
      <c r="B23" s="52">
        <v>2011</v>
      </c>
      <c r="C23" s="53" cm="1">
        <f t="array" ref="C23">isade_paev(B23)</f>
        <v>40860</v>
      </c>
      <c r="D23" t="str">
        <f t="shared" ca="1" si="1"/>
        <v>=isade_paev(B23)</v>
      </c>
      <c r="G23" s="52">
        <v>500</v>
      </c>
      <c r="H23" s="58">
        <v>125.5</v>
      </c>
      <c r="I23" s="52">
        <v>9</v>
      </c>
      <c r="J23" s="56" t="str" cm="1">
        <f t="array" ref="J23">varia(G23,H23,I23)</f>
        <v>pole võimalik</v>
      </c>
      <c r="K23" t="str">
        <f t="shared" ca="1" si="0"/>
        <v>=varia(G23;H23;I23)</v>
      </c>
      <c r="N23">
        <v>500</v>
      </c>
    </row>
    <row r="24" spans="2:14">
      <c r="B24" s="52">
        <v>2012</v>
      </c>
      <c r="C24" s="53" cm="1">
        <f t="array" ref="C24">isade_paev(B24)</f>
        <v>41224</v>
      </c>
      <c r="D24" t="str">
        <f t="shared" ca="1" si="1"/>
        <v>=isade_paev(B24)</v>
      </c>
      <c r="G24" s="52" t="s">
        <v>13</v>
      </c>
      <c r="H24" s="52" t="s">
        <v>23</v>
      </c>
      <c r="I24" s="52" t="s">
        <v>17</v>
      </c>
      <c r="J24" s="56" t="str" cm="1">
        <f t="array" ref="J24">varia(G24,H24,I24)</f>
        <v>kõik väärtused pole arvud!</v>
      </c>
      <c r="K24" t="str">
        <f t="shared" ca="1" si="0"/>
        <v>=varia(G24;H24;I24)</v>
      </c>
      <c r="N24">
        <v>1000</v>
      </c>
    </row>
    <row r="25" spans="2:14">
      <c r="B25" s="52">
        <v>2013</v>
      </c>
      <c r="C25" s="53" cm="1">
        <f t="array" ref="C25">isade_paev(B25)</f>
        <v>41588</v>
      </c>
      <c r="D25" t="str">
        <f t="shared" ca="1" si="1"/>
        <v>=isade_paev(B25)</v>
      </c>
      <c r="G25" s="52">
        <v>1000</v>
      </c>
      <c r="H25" s="52">
        <v>1000</v>
      </c>
      <c r="I25" s="52">
        <v>1000</v>
      </c>
      <c r="J25" s="56" cm="1">
        <f t="array" ref="J25">varia(G25,H25,I25)</f>
        <v>3000</v>
      </c>
      <c r="K25" t="str">
        <f t="shared" ca="1" si="0"/>
        <v>=varia(G25;H25;I25)</v>
      </c>
      <c r="N25">
        <v>3.67</v>
      </c>
    </row>
    <row r="26" spans="2:14">
      <c r="B26" s="52">
        <v>2014</v>
      </c>
      <c r="C26" s="53" cm="1">
        <f t="array" ref="C26">isade_paev(B26)</f>
        <v>41952</v>
      </c>
      <c r="D26" t="str">
        <f t="shared" ca="1" si="1"/>
        <v>=isade_paev(B26)</v>
      </c>
      <c r="G26" s="52" t="s">
        <v>11</v>
      </c>
      <c r="H26" s="52">
        <v>86</v>
      </c>
      <c r="I26" s="52">
        <v>87</v>
      </c>
      <c r="J26" s="56" t="str" cm="1">
        <f t="array" ref="J26">varia(G26,H26,I26)</f>
        <v>kõik väärtused pole arvud!</v>
      </c>
      <c r="K26" t="str">
        <f t="shared" ca="1" si="0"/>
        <v>=varia(G26;H26;I26)</v>
      </c>
      <c r="N26">
        <v>7</v>
      </c>
    </row>
    <row r="27" spans="2:14">
      <c r="B27" s="52">
        <v>2015</v>
      </c>
      <c r="C27" s="53" cm="1">
        <f t="array" ref="C27">isade_paev(B27)</f>
        <v>42316</v>
      </c>
      <c r="D27" t="str">
        <f t="shared" ca="1" si="1"/>
        <v>=isade_paev(B27)</v>
      </c>
      <c r="G27" s="52">
        <v>7.4</v>
      </c>
      <c r="H27" s="52">
        <v>4</v>
      </c>
      <c r="I27" s="52">
        <v>7.4</v>
      </c>
      <c r="J27" s="56" cm="1">
        <f t="array" ref="J27">varia(G27,H27,I27)</f>
        <v>18.8</v>
      </c>
      <c r="K27" t="str">
        <f t="shared" ca="1" si="0"/>
        <v>=varia(G27;H27;I27)</v>
      </c>
      <c r="N27">
        <v>4</v>
      </c>
    </row>
    <row r="28" spans="2:14">
      <c r="B28" s="52">
        <v>2016</v>
      </c>
      <c r="C28" s="53" cm="1">
        <f t="array" ref="C28">isade_paev(B28)</f>
        <v>42687</v>
      </c>
      <c r="D28" t="str">
        <f t="shared" ca="1" si="1"/>
        <v>=isade_paev(B28)</v>
      </c>
      <c r="G28" s="52">
        <v>4</v>
      </c>
      <c r="H28" s="52" t="s">
        <v>17</v>
      </c>
      <c r="I28" s="52" t="s">
        <v>17</v>
      </c>
      <c r="J28" s="56" t="str" cm="1">
        <f t="array" ref="J28">varia(G28,H28,I28)</f>
        <v>kõik väärtused pole arvud!</v>
      </c>
      <c r="K28" t="str">
        <f t="shared" ca="1" si="0"/>
        <v>=varia(G28;H28;I28)</v>
      </c>
      <c r="N28">
        <v>9</v>
      </c>
    </row>
    <row r="29" spans="2:14">
      <c r="B29" s="52">
        <v>2017</v>
      </c>
      <c r="C29" s="53" cm="1">
        <f t="array" ref="C29">isade_paev(B29)</f>
        <v>43051</v>
      </c>
      <c r="D29" t="str">
        <f t="shared" ca="1" si="1"/>
        <v>=isade_paev(B29)</v>
      </c>
      <c r="G29" s="57">
        <v>44395</v>
      </c>
      <c r="H29" s="52">
        <v>500</v>
      </c>
      <c r="I29" s="52">
        <v>8.4</v>
      </c>
      <c r="J29" s="56" t="str" cm="1">
        <f t="array" ref="J29">varia(G29,H29,I29)</f>
        <v>kõik väärtused pole arvud!</v>
      </c>
      <c r="K29" t="str">
        <f t="shared" ca="1" si="0"/>
        <v>=varia(G29;H29;I29)</v>
      </c>
      <c r="N29">
        <v>44</v>
      </c>
    </row>
    <row r="30" spans="2:14">
      <c r="B30" s="52">
        <v>2018</v>
      </c>
      <c r="C30" s="53" cm="1">
        <f t="array" ref="C30">isade_paev(B30)</f>
        <v>43415</v>
      </c>
      <c r="D30" t="str">
        <f t="shared" ca="1" si="1"/>
        <v>=isade_paev(B30)</v>
      </c>
      <c r="G30" s="52" t="s">
        <v>7</v>
      </c>
      <c r="H30" s="52" t="s">
        <v>10</v>
      </c>
      <c r="I30" s="57">
        <v>44296</v>
      </c>
      <c r="J30" s="56" t="str" cm="1">
        <f t="array" ref="J30">varia(G30,H30,I30)</f>
        <v>kõik väärtused pole arvud!</v>
      </c>
      <c r="K30" t="str">
        <f t="shared" ca="1" si="0"/>
        <v>=varia(G30;H30;I30)</v>
      </c>
      <c r="N30">
        <v>5.8760000000000003</v>
      </c>
    </row>
    <row r="31" spans="2:14">
      <c r="B31" s="52">
        <v>2019</v>
      </c>
      <c r="C31" s="53" cm="1">
        <f t="array" ref="C31">isade_paev(B31)</f>
        <v>43779</v>
      </c>
      <c r="D31" t="str">
        <f t="shared" ca="1" si="1"/>
        <v>=isade_paev(B31)</v>
      </c>
      <c r="G31" s="52">
        <v>2</v>
      </c>
      <c r="H31" s="52">
        <v>7.75</v>
      </c>
      <c r="I31" s="57">
        <v>44406</v>
      </c>
      <c r="J31" s="56" t="str" cm="1">
        <f t="array" ref="J31">varia(G31,H31,I31)</f>
        <v>kõik väärtused pole arvud!</v>
      </c>
      <c r="K31" t="str">
        <f t="shared" ca="1" si="0"/>
        <v>=varia(G31;H31;I31)</v>
      </c>
      <c r="N31">
        <v>784.9</v>
      </c>
    </row>
    <row r="32" spans="2:14">
      <c r="B32" s="52">
        <v>2020</v>
      </c>
      <c r="C32" s="53" cm="1">
        <f t="array" ref="C32">isade_paev(B32)</f>
        <v>44143</v>
      </c>
      <c r="D32" t="str">
        <f t="shared" ca="1" si="1"/>
        <v>=isade_paev(B32)</v>
      </c>
      <c r="G32" s="52" t="s">
        <v>22</v>
      </c>
      <c r="H32" s="52" t="s">
        <v>13</v>
      </c>
      <c r="I32" s="52">
        <v>9</v>
      </c>
      <c r="J32" s="56" t="str" cm="1">
        <f t="array" ref="J32">varia(G32,H32,I32)</f>
        <v>kõik väärtused pole arvud!</v>
      </c>
      <c r="K32" t="str">
        <f t="shared" ca="1" si="0"/>
        <v>=varia(G32;H32;I32)</v>
      </c>
      <c r="N32">
        <v>5.3449999999999998</v>
      </c>
    </row>
    <row r="33" spans="2:14">
      <c r="B33" s="52">
        <v>2021</v>
      </c>
      <c r="C33" s="53" cm="1">
        <f t="array" ref="C33">isade_paev(B33)</f>
        <v>44514</v>
      </c>
      <c r="D33" t="str">
        <f t="shared" ca="1" si="1"/>
        <v>=isade_paev(B33)</v>
      </c>
      <c r="G33" s="52">
        <v>3.76</v>
      </c>
      <c r="H33" s="52">
        <v>4</v>
      </c>
      <c r="I33" s="52">
        <v>5</v>
      </c>
      <c r="J33" s="56" cm="1">
        <f t="array" ref="J33">varia(G33,H33,I33)</f>
        <v>12.76</v>
      </c>
      <c r="K33" t="str">
        <f t="shared" ca="1" si="0"/>
        <v>=varia(G33;H33;I33)</v>
      </c>
      <c r="N33">
        <v>56.78</v>
      </c>
    </row>
    <row r="34" spans="2:14">
      <c r="B34" s="52">
        <v>2022</v>
      </c>
      <c r="C34" s="53" cm="1">
        <f t="array" ref="C34">isade_paev(B34)</f>
        <v>44878</v>
      </c>
      <c r="D34" t="str">
        <f t="shared" ca="1" si="1"/>
        <v>=isade_paev(B34)</v>
      </c>
      <c r="G34" s="52" t="s">
        <v>13</v>
      </c>
      <c r="H34" s="52" t="s">
        <v>16</v>
      </c>
      <c r="I34" s="52" t="s">
        <v>20</v>
      </c>
      <c r="J34" s="56" t="str" cm="1">
        <f t="array" ref="J34">varia(G34,H34,I34)</f>
        <v>kõik väärtused pole arvud!</v>
      </c>
      <c r="K34" t="str">
        <f t="shared" ca="1" si="0"/>
        <v>=varia(G34;H34;I34)</v>
      </c>
      <c r="N34" s="5">
        <v>39935</v>
      </c>
    </row>
    <row r="35" spans="2:14">
      <c r="B35" s="52">
        <v>2023</v>
      </c>
      <c r="C35" s="53" cm="1">
        <f t="array" ref="C35">isade_paev(B35)</f>
        <v>45242</v>
      </c>
      <c r="D35" t="str">
        <f t="shared" ca="1" si="1"/>
        <v>=isade_paev(B35)</v>
      </c>
      <c r="G35" s="52">
        <v>8</v>
      </c>
      <c r="H35" s="52">
        <v>3.67</v>
      </c>
      <c r="I35" s="52">
        <v>5</v>
      </c>
      <c r="J35" s="56" cm="1">
        <f t="array" ref="J35">varia(G35,H35,I35)</f>
        <v>16.670000000000002</v>
      </c>
      <c r="K35" t="str">
        <f t="shared" ca="1" si="0"/>
        <v>=varia(G35;H35;I35)</v>
      </c>
      <c r="N35" s="5">
        <v>37473</v>
      </c>
    </row>
    <row r="36" spans="2:14">
      <c r="B36" s="52">
        <v>2024</v>
      </c>
      <c r="C36" s="53" cm="1">
        <f t="array" ref="C36">isade_paev(B36)</f>
        <v>45606</v>
      </c>
      <c r="D36" t="str">
        <f t="shared" ca="1" si="1"/>
        <v>=isade_paev(B36)</v>
      </c>
      <c r="G36" s="57">
        <v>44296</v>
      </c>
      <c r="H36" s="57">
        <v>44406</v>
      </c>
      <c r="I36" s="57">
        <v>37473</v>
      </c>
      <c r="J36" s="56" t="str" cm="1">
        <f t="array" ref="J36">varia(G36,H36,I36)</f>
        <v>kõik väärtused pole arvud!</v>
      </c>
      <c r="K36" t="str">
        <f t="shared" ca="1" si="0"/>
        <v>=varia(G36;H36;I36)</v>
      </c>
      <c r="N36" s="5">
        <v>38338</v>
      </c>
    </row>
    <row r="37" spans="2:14">
      <c r="B37" s="52">
        <v>2025</v>
      </c>
      <c r="C37" s="53" cm="1">
        <f t="array" ref="C37">isade_paev(B37)</f>
        <v>45970</v>
      </c>
      <c r="D37" t="str">
        <f t="shared" ca="1" si="1"/>
        <v>=isade_paev(B37)</v>
      </c>
      <c r="G37" s="52">
        <v>4</v>
      </c>
      <c r="H37" s="52" t="s">
        <v>24</v>
      </c>
      <c r="I37" s="52">
        <v>258.14</v>
      </c>
      <c r="J37" s="56" t="str" cm="1">
        <f t="array" ref="J37">varia(G37,H37,I37)</f>
        <v>kõik väärtused pole arvud!</v>
      </c>
      <c r="K37" t="str">
        <f t="shared" ca="1" si="0"/>
        <v>=varia(G37;H37;I37)</v>
      </c>
      <c r="N37" t="s">
        <v>24</v>
      </c>
    </row>
    <row r="38" spans="2:14">
      <c r="B38" s="52">
        <v>2026</v>
      </c>
      <c r="C38" s="53" cm="1">
        <f t="array" ref="C38">isade_paev(B38)</f>
        <v>46334</v>
      </c>
      <c r="D38" t="str">
        <f t="shared" ca="1" si="1"/>
        <v>=isade_paev(B38)</v>
      </c>
      <c r="G38" s="57">
        <v>44351</v>
      </c>
      <c r="H38" s="57">
        <v>44351</v>
      </c>
      <c r="I38" s="57">
        <v>44219</v>
      </c>
      <c r="J38" s="56" t="str" cm="1">
        <f t="array" ref="J38">varia(G38,H38,I38)</f>
        <v>kõik väärtused pole arvud!</v>
      </c>
      <c r="K38" t="str">
        <f t="shared" ca="1" si="0"/>
        <v>=varia(G38;H38;I38)</v>
      </c>
      <c r="N38" t="s">
        <v>7</v>
      </c>
    </row>
    <row r="39" spans="2:14">
      <c r="B39" s="52">
        <v>2027</v>
      </c>
      <c r="C39" s="53" cm="1">
        <f t="array" ref="C39">isade_paev(B39)</f>
        <v>46705</v>
      </c>
      <c r="D39" t="str">
        <f t="shared" ca="1" si="1"/>
        <v>=isade_paev(B39)</v>
      </c>
      <c r="G39" s="52">
        <v>4</v>
      </c>
      <c r="H39" s="57">
        <v>44252</v>
      </c>
      <c r="I39" s="52">
        <v>34</v>
      </c>
      <c r="J39" s="56" t="str" cm="1">
        <f t="array" ref="J39">varia(G39,H39,I39)</f>
        <v>kõik väärtused pole arvud!</v>
      </c>
      <c r="K39" t="str">
        <f t="shared" ca="1" si="0"/>
        <v>=varia(G39;H39;I39)</v>
      </c>
      <c r="N39" t="s">
        <v>13</v>
      </c>
    </row>
    <row r="40" spans="2:14">
      <c r="B40" s="52">
        <v>2028</v>
      </c>
      <c r="C40" s="53" cm="1">
        <f t="array" ref="C40">isade_paev(B40)</f>
        <v>47069</v>
      </c>
      <c r="D40" t="str">
        <f t="shared" ca="1" si="1"/>
        <v>=isade_paev(B40)</v>
      </c>
      <c r="G40" s="52">
        <v>3.67</v>
      </c>
      <c r="H40" s="52">
        <v>17</v>
      </c>
      <c r="I40" s="52" t="s">
        <v>20</v>
      </c>
      <c r="J40" s="56" t="str" cm="1">
        <f t="array" ref="J40">varia(G40,H40,I40)</f>
        <v>kõik väärtused pole arvud!</v>
      </c>
      <c r="K40" t="str">
        <f t="shared" ca="1" si="0"/>
        <v>=varia(G40;H40;I40)</v>
      </c>
      <c r="N40" t="s">
        <v>20</v>
      </c>
    </row>
    <row r="41" spans="2:14">
      <c r="B41" s="52">
        <v>2029</v>
      </c>
      <c r="C41" s="53" cm="1">
        <f t="array" ref="C41">isade_paev(B41)</f>
        <v>47433</v>
      </c>
      <c r="D41" t="str">
        <f t="shared" ca="1" si="1"/>
        <v>=isade_paev(B41)</v>
      </c>
      <c r="G41" s="52" t="s">
        <v>6</v>
      </c>
      <c r="H41" s="52">
        <v>56.78</v>
      </c>
      <c r="I41" s="52" t="s">
        <v>13</v>
      </c>
      <c r="J41" s="56" t="str" cm="1">
        <f t="array" ref="J41">varia(G41,H41,I41)</f>
        <v>kõik väärtused pole arvud!</v>
      </c>
      <c r="K41" t="str">
        <f t="shared" ca="1" si="0"/>
        <v>=varia(G41;H41;I41)</v>
      </c>
      <c r="N41" t="s">
        <v>25</v>
      </c>
    </row>
    <row r="42" spans="2:14">
      <c r="B42" s="52">
        <v>2030</v>
      </c>
      <c r="C42" s="53" cm="1">
        <f t="array" ref="C42">isade_paev(B42)</f>
        <v>47797</v>
      </c>
      <c r="D42" t="str">
        <f t="shared" ca="1" si="1"/>
        <v>=isade_paev(B42)</v>
      </c>
      <c r="G42" s="57">
        <v>44252</v>
      </c>
      <c r="H42" s="57">
        <v>44252</v>
      </c>
      <c r="I42" s="57">
        <v>44252</v>
      </c>
      <c r="J42" s="56" t="str" cm="1">
        <f t="array" ref="J42">varia(G42,H42,I42)</f>
        <v>kõik väärtused pole arvud!</v>
      </c>
      <c r="K42" t="str">
        <f t="shared" ca="1" si="0"/>
        <v>=varia(G42;H42;I42)</v>
      </c>
    </row>
    <row r="43" spans="2:14">
      <c r="G43" s="52" t="s">
        <v>9</v>
      </c>
      <c r="H43" s="52" t="s">
        <v>12</v>
      </c>
      <c r="I43" s="57">
        <v>44208</v>
      </c>
      <c r="J43" s="56" t="str" cm="1">
        <f t="array" ref="J43">varia(G43,H43,I43)</f>
        <v>kõik väärtused pole arvud!</v>
      </c>
      <c r="K43" t="str">
        <f t="shared" ca="1" si="0"/>
        <v>=varia(G43;H43;I43)</v>
      </c>
    </row>
    <row r="44" spans="2:14">
      <c r="G44" s="52">
        <v>3</v>
      </c>
      <c r="H44" s="52">
        <v>45</v>
      </c>
      <c r="I44" s="52" t="s">
        <v>17</v>
      </c>
      <c r="J44" s="56" t="str" cm="1">
        <f t="array" ref="J44">varia(G44,H44,I44)</f>
        <v>kõik väärtused pole arvud!</v>
      </c>
      <c r="K44" t="str">
        <f t="shared" ca="1" si="0"/>
        <v>=varia(G44;H44;I44)</v>
      </c>
    </row>
    <row r="45" spans="2:14">
      <c r="G45" s="52">
        <v>13</v>
      </c>
      <c r="H45" s="52">
        <v>18</v>
      </c>
      <c r="I45" s="52">
        <v>13</v>
      </c>
      <c r="J45" s="56" cm="1">
        <f t="array" ref="J45">varia(G45,H45,I45)</f>
        <v>44</v>
      </c>
      <c r="K45" t="str">
        <f t="shared" ca="1" si="0"/>
        <v>=varia(G45;H45;I45)</v>
      </c>
    </row>
    <row r="46" spans="2:14">
      <c r="G46" s="52" t="s">
        <v>5</v>
      </c>
      <c r="H46" s="52" t="s">
        <v>11</v>
      </c>
      <c r="I46" s="52" t="s">
        <v>5</v>
      </c>
      <c r="J46" s="56" t="str" cm="1">
        <f t="array" ref="J46">varia(G46,H46,I46)</f>
        <v>kõik väärtused pole arvud!</v>
      </c>
      <c r="K46" t="str">
        <f t="shared" ca="1" si="0"/>
        <v>=varia(G46;H46;I46)</v>
      </c>
    </row>
    <row r="47" spans="2:14">
      <c r="G47" s="52">
        <v>10</v>
      </c>
      <c r="H47" s="52">
        <v>7</v>
      </c>
      <c r="I47" s="52">
        <v>8.35</v>
      </c>
      <c r="J47" s="56" cm="1">
        <f t="array" ref="J47">varia(G47,H47,I47)</f>
        <v>25.35</v>
      </c>
      <c r="K47" t="str">
        <f t="shared" ca="1" si="0"/>
        <v>=varia(G47;H47;I47)</v>
      </c>
    </row>
    <row r="48" spans="2:14">
      <c r="G48" s="57">
        <v>44362</v>
      </c>
      <c r="H48" s="52" t="s">
        <v>7</v>
      </c>
      <c r="I48" s="57">
        <v>44263</v>
      </c>
      <c r="J48" s="56" t="str" cm="1">
        <f t="array" ref="J48">varia(G48,H48,I48)</f>
        <v>kõik väärtused pole arvud!</v>
      </c>
      <c r="K48" t="str">
        <f t="shared" ca="1" si="0"/>
        <v>=varia(G48;H48;I48)</v>
      </c>
    </row>
    <row r="49" spans="7:11">
      <c r="G49" s="52" t="s">
        <v>26</v>
      </c>
      <c r="H49" s="57">
        <v>44230</v>
      </c>
      <c r="I49" s="52" t="s">
        <v>6</v>
      </c>
      <c r="J49" s="56" t="str" cm="1">
        <f t="array" ref="J49">varia(G49,H49,I49)</f>
        <v>kõik väärtused pole arvud!</v>
      </c>
      <c r="K49" t="str">
        <f t="shared" ca="1" si="0"/>
        <v>=varia(G49;H49;I49)</v>
      </c>
    </row>
    <row r="50" spans="7:11">
      <c r="G50" s="52">
        <v>15</v>
      </c>
      <c r="H50" s="52">
        <v>4</v>
      </c>
      <c r="I50" s="52">
        <v>9</v>
      </c>
      <c r="J50" s="56" t="str" cm="1">
        <f t="array" ref="J50">varia(G50,H50,I50)</f>
        <v>pole võimalik</v>
      </c>
      <c r="K50" t="str">
        <f t="shared" ca="1" si="0"/>
        <v>=varia(G50;H50;I50)</v>
      </c>
    </row>
    <row r="51" spans="7:11">
      <c r="G51" s="52" t="s">
        <v>18</v>
      </c>
      <c r="H51" s="52">
        <v>1000</v>
      </c>
      <c r="I51" s="52" t="s">
        <v>24</v>
      </c>
      <c r="J51" s="56" t="str" cm="1">
        <f t="array" ref="J51">varia(G51,H51,I51)</f>
        <v>kõik väärtused pole arvud!</v>
      </c>
      <c r="K51" t="str">
        <f t="shared" ca="1" si="0"/>
        <v>=varia(G51;H51;I51)</v>
      </c>
    </row>
  </sheetData>
  <mergeCells count="3">
    <mergeCell ref="B10:C10"/>
    <mergeCell ref="G10:J10"/>
    <mergeCell ref="C1:J7"/>
  </mergeCells>
  <dataValidations count="2">
    <dataValidation type="whole" operator="equal" allowBlank="1" showInputMessage="1" showErrorMessage="1" sqref="B5:B8" xr:uid="{B23ACFB1-08C6-433E-B9DD-86F3CC1E9FDE}">
      <formula1>6</formula1>
    </dataValidation>
    <dataValidation type="decimal" operator="equal" allowBlank="1" showInputMessage="1" showErrorMessage="1" sqref="B1:B4" xr:uid="{31E5061C-4292-401B-89E6-A1FE71AEC54D}">
      <formula1>-5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68A4-9082-450D-B9E0-DC2374BF9D0F}">
  <sheetPr codeName="Sheet3"/>
  <dimension ref="A1:N33"/>
  <sheetViews>
    <sheetView topLeftCell="A13" zoomScaleNormal="100" workbookViewId="0">
      <selection activeCell="C32" sqref="C32"/>
    </sheetView>
  </sheetViews>
  <sheetFormatPr defaultRowHeight="14.4"/>
  <cols>
    <col min="1" max="1" width="17.21875" customWidth="1"/>
    <col min="2" max="4" width="7.21875" customWidth="1"/>
    <col min="5" max="5" width="7.88671875" customWidth="1"/>
    <col min="6" max="8" width="7.21875" customWidth="1"/>
    <col min="9" max="9" width="8.77734375" customWidth="1"/>
    <col min="10" max="10" width="7.21875" customWidth="1"/>
    <col min="11" max="11" width="8.33203125" customWidth="1"/>
    <col min="12" max="12" width="13.5546875" customWidth="1"/>
  </cols>
  <sheetData>
    <row r="1" spans="2:14" ht="14.4" customHeight="1">
      <c r="B1" s="100" t="s">
        <v>453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2"/>
      <c r="N1" s="2"/>
    </row>
    <row r="2" spans="2:14" ht="14.4" customHeight="1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5"/>
      <c r="N2" s="4"/>
    </row>
    <row r="3" spans="2:14" ht="14.4" customHeight="1">
      <c r="B3" s="103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5"/>
      <c r="N3" s="4"/>
    </row>
    <row r="4" spans="2:14" ht="14.4" customHeight="1">
      <c r="B4" s="103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5"/>
    </row>
    <row r="5" spans="2:14" ht="14.4" customHeight="1">
      <c r="B5" s="103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5"/>
    </row>
    <row r="6" spans="2:14" ht="14.4" customHeight="1">
      <c r="B6" s="103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5"/>
    </row>
    <row r="7" spans="2:14" ht="14.4" customHeight="1">
      <c r="B7" s="103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5"/>
    </row>
    <row r="8" spans="2:14" ht="14.4" customHeight="1">
      <c r="B8" s="103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5"/>
    </row>
    <row r="9" spans="2:14" ht="15" customHeight="1" thickBot="1">
      <c r="B9" s="106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8"/>
    </row>
    <row r="12" spans="2:14">
      <c r="B12" s="6">
        <v>-27</v>
      </c>
      <c r="C12" s="7">
        <v>-2</v>
      </c>
      <c r="D12" s="6">
        <v>-69</v>
      </c>
      <c r="E12" s="6">
        <v>-5</v>
      </c>
      <c r="F12" s="7">
        <v>-49</v>
      </c>
      <c r="G12" s="7">
        <v>26</v>
      </c>
      <c r="H12" s="6">
        <v>8</v>
      </c>
      <c r="I12" s="7">
        <v>-70</v>
      </c>
      <c r="J12" s="6">
        <v>88</v>
      </c>
      <c r="K12" s="6">
        <v>31</v>
      </c>
    </row>
    <row r="13" spans="2:14">
      <c r="B13" s="8">
        <v>1</v>
      </c>
      <c r="C13" s="8">
        <v>-22</v>
      </c>
      <c r="D13" s="8">
        <v>-79</v>
      </c>
      <c r="E13" s="6">
        <v>-57</v>
      </c>
      <c r="F13" s="6">
        <v>-8</v>
      </c>
      <c r="G13" s="6">
        <v>51</v>
      </c>
      <c r="H13" s="6">
        <v>19</v>
      </c>
      <c r="I13" s="8">
        <v>66</v>
      </c>
      <c r="J13" s="6">
        <v>-97</v>
      </c>
      <c r="K13" s="6">
        <v>0</v>
      </c>
    </row>
    <row r="14" spans="2:14">
      <c r="B14" s="8">
        <v>-86</v>
      </c>
      <c r="C14" s="8">
        <v>-79</v>
      </c>
      <c r="D14" s="6">
        <v>-34</v>
      </c>
      <c r="E14" s="6">
        <v>-75</v>
      </c>
      <c r="F14" s="7">
        <v>0</v>
      </c>
      <c r="G14" s="6">
        <v>7</v>
      </c>
      <c r="H14" s="6">
        <v>32</v>
      </c>
      <c r="I14" s="7">
        <v>8</v>
      </c>
      <c r="J14" s="7">
        <v>66</v>
      </c>
      <c r="K14" s="7">
        <v>-84</v>
      </c>
    </row>
    <row r="15" spans="2:14">
      <c r="B15" s="8">
        <v>-62</v>
      </c>
      <c r="C15" s="6">
        <v>36</v>
      </c>
      <c r="D15" s="7">
        <v>-9</v>
      </c>
      <c r="E15" s="6">
        <v>0</v>
      </c>
      <c r="F15" s="6">
        <v>-70</v>
      </c>
      <c r="G15" s="7">
        <v>41</v>
      </c>
      <c r="H15" s="7">
        <v>86</v>
      </c>
      <c r="I15" s="8">
        <v>6</v>
      </c>
      <c r="J15" s="8">
        <v>-82</v>
      </c>
      <c r="K15" s="6">
        <v>52</v>
      </c>
    </row>
    <row r="16" spans="2:14">
      <c r="B16" s="6">
        <v>-20</v>
      </c>
      <c r="C16" s="6">
        <v>-8</v>
      </c>
      <c r="D16" s="7">
        <v>-2</v>
      </c>
      <c r="E16" s="7">
        <v>-59</v>
      </c>
      <c r="F16" s="6">
        <v>-34</v>
      </c>
      <c r="G16" s="6">
        <v>-81</v>
      </c>
      <c r="H16" s="7">
        <v>18</v>
      </c>
      <c r="I16" s="7">
        <v>-66</v>
      </c>
      <c r="J16" s="6">
        <v>-86</v>
      </c>
      <c r="K16" s="6">
        <v>-81</v>
      </c>
    </row>
    <row r="17" spans="1:12">
      <c r="B17" s="6">
        <v>-11</v>
      </c>
      <c r="C17" s="8">
        <v>-46</v>
      </c>
      <c r="D17" s="7">
        <v>75</v>
      </c>
      <c r="E17" s="7">
        <v>-50</v>
      </c>
      <c r="F17" s="7">
        <v>-46</v>
      </c>
      <c r="G17" s="7">
        <v>35</v>
      </c>
      <c r="H17" s="8">
        <v>49</v>
      </c>
      <c r="I17" s="8">
        <v>-82</v>
      </c>
      <c r="J17" s="6">
        <v>0</v>
      </c>
      <c r="K17" s="7">
        <v>-36</v>
      </c>
    </row>
    <row r="18" spans="1:12">
      <c r="B18" s="8">
        <v>58</v>
      </c>
      <c r="C18" s="8">
        <v>-41</v>
      </c>
      <c r="D18" s="7">
        <v>-53</v>
      </c>
      <c r="E18" s="6">
        <v>-4</v>
      </c>
      <c r="F18" s="8">
        <v>-49</v>
      </c>
      <c r="G18" s="6">
        <v>-32</v>
      </c>
      <c r="H18" s="6">
        <v>91</v>
      </c>
      <c r="I18" s="8">
        <v>-4</v>
      </c>
      <c r="J18" s="6">
        <v>-59</v>
      </c>
      <c r="K18" s="6">
        <v>73</v>
      </c>
    </row>
    <row r="19" spans="1:12">
      <c r="B19" s="8">
        <v>18</v>
      </c>
      <c r="C19" s="7">
        <v>51</v>
      </c>
      <c r="D19" s="7">
        <v>0</v>
      </c>
      <c r="E19" s="8">
        <v>-34</v>
      </c>
      <c r="F19" s="7">
        <v>9</v>
      </c>
      <c r="G19" s="7">
        <v>-84</v>
      </c>
      <c r="H19" s="7">
        <v>27</v>
      </c>
      <c r="I19" s="7">
        <v>-18</v>
      </c>
      <c r="J19" s="8">
        <v>93</v>
      </c>
      <c r="K19" s="7">
        <v>-77</v>
      </c>
    </row>
    <row r="20" spans="1:12">
      <c r="B20" s="6">
        <v>54</v>
      </c>
      <c r="C20" s="6">
        <v>24</v>
      </c>
      <c r="D20" s="7">
        <v>-2</v>
      </c>
      <c r="E20" s="7">
        <v>-36</v>
      </c>
      <c r="F20" s="8">
        <v>78</v>
      </c>
      <c r="G20" s="9">
        <v>-26</v>
      </c>
      <c r="H20" s="6">
        <v>40</v>
      </c>
      <c r="I20" s="8">
        <v>-42</v>
      </c>
      <c r="J20" s="8">
        <v>-70</v>
      </c>
      <c r="K20" s="6">
        <v>6</v>
      </c>
    </row>
    <row r="21" spans="1:12">
      <c r="B21" s="8">
        <v>85</v>
      </c>
      <c r="C21" s="8">
        <v>24</v>
      </c>
      <c r="D21" s="8">
        <v>-31</v>
      </c>
      <c r="E21" s="8">
        <v>-71</v>
      </c>
      <c r="F21" s="7">
        <v>-4</v>
      </c>
      <c r="G21" s="8">
        <v>-56</v>
      </c>
      <c r="H21" s="8">
        <v>99</v>
      </c>
      <c r="I21" s="8">
        <v>-74</v>
      </c>
      <c r="J21" s="8">
        <v>-95</v>
      </c>
      <c r="K21" s="7">
        <v>-31</v>
      </c>
    </row>
    <row r="22" spans="1:12">
      <c r="B22" s="8">
        <v>10</v>
      </c>
      <c r="C22" s="7">
        <v>0</v>
      </c>
      <c r="D22" s="7">
        <v>8</v>
      </c>
      <c r="E22" s="7">
        <v>-19</v>
      </c>
      <c r="F22" s="8">
        <v>70</v>
      </c>
      <c r="G22" s="8">
        <v>66</v>
      </c>
      <c r="H22" s="7">
        <v>35</v>
      </c>
      <c r="I22" s="8">
        <v>44</v>
      </c>
      <c r="J22" s="6">
        <v>100</v>
      </c>
      <c r="K22" s="7">
        <v>32</v>
      </c>
    </row>
    <row r="23" spans="1:12">
      <c r="B23" s="6">
        <v>-1</v>
      </c>
      <c r="C23" s="7">
        <v>-17</v>
      </c>
      <c r="D23" s="8">
        <v>39</v>
      </c>
      <c r="E23" s="8">
        <v>-65</v>
      </c>
      <c r="F23" s="7">
        <v>-15</v>
      </c>
      <c r="G23" s="6">
        <v>9</v>
      </c>
      <c r="H23" s="8">
        <v>63</v>
      </c>
      <c r="I23" s="7">
        <v>9</v>
      </c>
      <c r="J23" s="8">
        <v>-15</v>
      </c>
      <c r="K23" s="7">
        <v>3</v>
      </c>
    </row>
    <row r="24" spans="1:12">
      <c r="B24" s="6">
        <v>-56</v>
      </c>
      <c r="C24" s="7">
        <v>17</v>
      </c>
      <c r="D24" s="6">
        <v>-27</v>
      </c>
      <c r="E24" s="8">
        <v>-76</v>
      </c>
      <c r="F24" s="8">
        <v>-4</v>
      </c>
      <c r="G24" s="6">
        <v>-62</v>
      </c>
      <c r="H24" s="7">
        <v>37</v>
      </c>
      <c r="I24" s="7">
        <v>50</v>
      </c>
      <c r="J24" s="8">
        <v>23</v>
      </c>
      <c r="K24" s="6">
        <v>57</v>
      </c>
    </row>
    <row r="25" spans="1:12">
      <c r="B25" s="8">
        <v>-68</v>
      </c>
      <c r="C25" s="6">
        <v>62</v>
      </c>
      <c r="D25" s="8">
        <v>-60</v>
      </c>
      <c r="E25" s="8">
        <v>-92</v>
      </c>
      <c r="F25" s="6">
        <v>-87</v>
      </c>
      <c r="G25" s="6">
        <v>0</v>
      </c>
      <c r="H25" s="7">
        <v>59</v>
      </c>
      <c r="I25" s="7">
        <v>-24</v>
      </c>
      <c r="J25" s="8">
        <v>-7</v>
      </c>
      <c r="K25" s="7">
        <v>-76</v>
      </c>
    </row>
    <row r="26" spans="1:12">
      <c r="B26" s="8">
        <v>-77</v>
      </c>
      <c r="C26" s="6">
        <v>-66</v>
      </c>
      <c r="D26" s="6">
        <v>-91</v>
      </c>
      <c r="E26" s="6">
        <v>-43</v>
      </c>
      <c r="F26" s="7">
        <v>7</v>
      </c>
      <c r="G26" s="6">
        <v>12</v>
      </c>
      <c r="H26" s="8">
        <v>57</v>
      </c>
      <c r="I26" s="8">
        <v>-6</v>
      </c>
      <c r="J26" s="6">
        <v>50</v>
      </c>
      <c r="K26" s="7">
        <v>51</v>
      </c>
    </row>
    <row r="27" spans="1:12">
      <c r="B27" s="6">
        <v>-20</v>
      </c>
      <c r="C27" s="6">
        <v>81</v>
      </c>
      <c r="D27" s="7">
        <v>49</v>
      </c>
      <c r="E27" s="8">
        <v>-83</v>
      </c>
      <c r="F27" s="7">
        <v>27</v>
      </c>
      <c r="G27" s="8">
        <v>43</v>
      </c>
      <c r="H27" s="6">
        <v>0</v>
      </c>
      <c r="I27" s="7">
        <v>-14</v>
      </c>
      <c r="J27" s="8">
        <v>-20</v>
      </c>
      <c r="K27" s="7">
        <v>0</v>
      </c>
    </row>
    <row r="28" spans="1:12">
      <c r="B28" s="8">
        <v>99</v>
      </c>
      <c r="C28" s="8">
        <v>61</v>
      </c>
      <c r="D28" s="8">
        <v>39</v>
      </c>
      <c r="E28" s="6">
        <v>-17</v>
      </c>
      <c r="F28" s="7">
        <v>47</v>
      </c>
      <c r="G28" s="6">
        <v>-45</v>
      </c>
      <c r="H28" s="6">
        <v>29</v>
      </c>
      <c r="I28" s="7">
        <v>-13</v>
      </c>
      <c r="J28" s="6">
        <v>89</v>
      </c>
      <c r="K28" s="7">
        <v>-75</v>
      </c>
    </row>
    <row r="29" spans="1:12">
      <c r="B29" s="6">
        <v>29</v>
      </c>
      <c r="C29" s="8">
        <v>0</v>
      </c>
      <c r="D29" s="8">
        <v>-80</v>
      </c>
      <c r="E29" s="6">
        <v>-63</v>
      </c>
      <c r="F29" s="7">
        <v>-85</v>
      </c>
      <c r="G29" s="6">
        <v>-14</v>
      </c>
      <c r="H29" s="8">
        <v>92</v>
      </c>
      <c r="I29" s="8">
        <v>8</v>
      </c>
      <c r="J29" s="8">
        <v>-1</v>
      </c>
      <c r="K29" s="7">
        <v>95</v>
      </c>
    </row>
    <row r="30" spans="1:12">
      <c r="B30" s="6">
        <v>-57</v>
      </c>
      <c r="C30" s="6">
        <v>-24</v>
      </c>
      <c r="D30" s="8">
        <v>-21</v>
      </c>
      <c r="E30" s="7">
        <v>-44</v>
      </c>
      <c r="F30" s="6">
        <v>1</v>
      </c>
      <c r="G30" s="7">
        <v>-73</v>
      </c>
      <c r="H30" s="7">
        <v>3</v>
      </c>
      <c r="I30" s="7">
        <v>94</v>
      </c>
      <c r="J30" s="8">
        <v>12</v>
      </c>
      <c r="K30" s="7">
        <v>0</v>
      </c>
    </row>
    <row r="31" spans="1:12">
      <c r="B31" s="60">
        <v>32</v>
      </c>
      <c r="C31" s="60">
        <v>-12</v>
      </c>
      <c r="D31" s="61">
        <v>39</v>
      </c>
      <c r="E31" s="62">
        <v>-88</v>
      </c>
      <c r="F31" s="60">
        <v>51</v>
      </c>
      <c r="G31" s="60">
        <v>40</v>
      </c>
      <c r="H31" s="61">
        <v>1</v>
      </c>
      <c r="I31" s="60">
        <v>-68</v>
      </c>
      <c r="J31" s="61">
        <v>-56</v>
      </c>
      <c r="K31" s="62">
        <v>-35</v>
      </c>
    </row>
    <row r="32" spans="1:12" ht="57.6">
      <c r="A32" s="64" t="s">
        <v>454</v>
      </c>
      <c r="B32" s="52" cm="1">
        <f t="array" ref="B32">väikseimkollanepaaritu(B12:B31)</f>
        <v>-77</v>
      </c>
      <c r="C32" s="52" cm="1">
        <f t="array" ref="C32">väikseimkollanepaaritu(C12:C31)</f>
        <v>-79</v>
      </c>
      <c r="D32" s="52" cm="1">
        <f t="array" ref="D32">väikseimkollanepaaritu(D12:D31)</f>
        <v>-79</v>
      </c>
      <c r="E32" s="52" cm="1">
        <f t="array" ref="E32">väikseimkollanepaaritu(E12:E31)</f>
        <v>-83</v>
      </c>
      <c r="F32" s="52" cm="1">
        <f t="array" ref="F32">väikseimkollanepaaritu(F12:F31)</f>
        <v>-49</v>
      </c>
      <c r="G32" s="52" cm="1">
        <f t="array" ref="G32">väikseimkollanepaaritu(G12:G31)</f>
        <v>43</v>
      </c>
      <c r="H32" s="52" cm="1">
        <f t="array" ref="H32">väikseimkollanepaaritu(H12:H31)</f>
        <v>49</v>
      </c>
      <c r="I32" s="63" t="str" cm="1">
        <f t="array" ref="I32">väikseimkollanepaaritu(I12:I31)</f>
        <v>pole andmeid</v>
      </c>
      <c r="J32" s="52" cm="1">
        <f t="array" ref="J32">väikseimkollanepaaritu(J12:J31)</f>
        <v>-95</v>
      </c>
      <c r="K32" s="63" t="str" cm="1">
        <f t="array" ref="K32">väikseimkollanepaaritu(K12:K31)</f>
        <v>pole andmeid</v>
      </c>
      <c r="L32" t="str">
        <f ca="1">_xlfn.FORMULATEXT(K32)</f>
        <v>=väikseimkollanepaaritu(K12:K31)</v>
      </c>
    </row>
    <row r="33" spans="1:12" ht="63" customHeight="1">
      <c r="A33" s="64" t="s">
        <v>455</v>
      </c>
      <c r="B33" s="52" cm="1">
        <f t="array" ref="B33">keskmkollane3jaguv(B12:B31)</f>
        <v>58.5</v>
      </c>
      <c r="C33" s="52" cm="1">
        <f t="array" ref="C33">keskmkollane3jaguv(C12:C31)</f>
        <v>4</v>
      </c>
      <c r="D33" s="52" cm="1">
        <f t="array" ref="D33">keskmkollane3jaguv(D12:D31)</f>
        <v>-0.75</v>
      </c>
      <c r="E33" s="63" t="str" cm="1">
        <f t="array" ref="E33">keskmkollane3jaguv(E12:E31)</f>
        <v>pole andmeid</v>
      </c>
      <c r="F33" s="52" cm="1">
        <f t="array" ref="F33">keskmkollane3jaguv(F12:F31)</f>
        <v>64.5</v>
      </c>
      <c r="G33" s="52" cm="1">
        <f t="array" ref="G33">keskmkollane3jaguv(G12:G31)</f>
        <v>66</v>
      </c>
      <c r="H33" s="52" cm="1">
        <f t="array" ref="H33">keskmkollane3jaguv(H12:H31)</f>
        <v>73</v>
      </c>
      <c r="I33" s="52" cm="1">
        <f t="array" ref="I33">keskmkollane3jaguv(I12:I31)</f>
        <v>6</v>
      </c>
      <c r="J33" s="52" cm="1">
        <f t="array" ref="J33">keskmkollane3jaguv(J12:J31)</f>
        <v>30</v>
      </c>
      <c r="K33" s="63" t="str" cm="1">
        <f t="array" ref="K33">keskmkollane3jaguv(K12:K31)</f>
        <v>pole andmeid</v>
      </c>
      <c r="L33" t="str">
        <f ca="1">_xlfn.FORMULATEXT(K33)</f>
        <v>=keskmkollane3jaguv(K12:K31)</v>
      </c>
    </row>
  </sheetData>
  <mergeCells count="1">
    <mergeCell ref="B1:M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8EE81-7A9C-48B7-8888-3E56936F94F7}">
  <sheetPr codeName="Sheet9"/>
  <dimension ref="B1:W240"/>
  <sheetViews>
    <sheetView topLeftCell="B1" zoomScale="81" zoomScaleNormal="115" workbookViewId="0">
      <selection activeCell="P1" sqref="P1"/>
    </sheetView>
  </sheetViews>
  <sheetFormatPr defaultRowHeight="14.4"/>
  <cols>
    <col min="1" max="1" width="8" customWidth="1"/>
    <col min="2" max="2" width="18.5546875" customWidth="1"/>
    <col min="3" max="3" width="19" bestFit="1" customWidth="1"/>
    <col min="4" max="4" width="15.44140625" customWidth="1"/>
    <col min="5" max="5" width="14.6640625" bestFit="1" customWidth="1"/>
    <col min="6" max="6" width="12.21875" bestFit="1" customWidth="1"/>
    <col min="8" max="8" width="16.21875" customWidth="1"/>
    <col min="9" max="9" width="16.5546875" customWidth="1"/>
    <col min="10" max="10" width="16.44140625" customWidth="1"/>
    <col min="13" max="13" width="14.21875" bestFit="1" customWidth="1"/>
    <col min="14" max="14" width="18.44140625" bestFit="1" customWidth="1"/>
    <col min="15" max="15" width="19.21875" bestFit="1" customWidth="1"/>
    <col min="16" max="16" width="14.5546875" bestFit="1" customWidth="1"/>
  </cols>
  <sheetData>
    <row r="1" spans="2:16" ht="14.4" customHeight="1">
      <c r="C1" s="119" t="s">
        <v>464</v>
      </c>
      <c r="D1" s="120"/>
      <c r="E1" s="120"/>
      <c r="F1" s="120"/>
      <c r="G1" s="120"/>
      <c r="H1" s="120"/>
      <c r="I1" s="121"/>
      <c r="L1" s="86"/>
      <c r="M1" s="87"/>
      <c r="N1" s="88"/>
    </row>
    <row r="2" spans="2:16" ht="15" customHeight="1" thickBot="1">
      <c r="C2" s="122"/>
      <c r="D2" s="123"/>
      <c r="E2" s="123"/>
      <c r="F2" s="123"/>
      <c r="G2" s="123"/>
      <c r="H2" s="123"/>
      <c r="I2" s="124"/>
      <c r="L2" s="89"/>
      <c r="M2" s="90"/>
      <c r="N2" s="91"/>
    </row>
    <row r="3" spans="2:16" ht="15" customHeight="1" thickBot="1">
      <c r="C3" s="122"/>
      <c r="D3" s="123"/>
      <c r="E3" s="123"/>
      <c r="F3" s="123"/>
      <c r="G3" s="123"/>
      <c r="H3" s="123"/>
      <c r="I3" s="124"/>
      <c r="L3" s="89"/>
      <c r="M3" s="90"/>
      <c r="N3" s="91"/>
      <c r="P3" s="71" t="s">
        <v>459</v>
      </c>
    </row>
    <row r="4" spans="2:16" ht="14.4" customHeight="1">
      <c r="C4" s="122"/>
      <c r="D4" s="123"/>
      <c r="E4" s="123"/>
      <c r="F4" s="123"/>
      <c r="G4" s="123"/>
      <c r="H4" s="123"/>
      <c r="I4" s="124"/>
      <c r="L4" s="89"/>
      <c r="M4" s="90"/>
      <c r="N4" s="91"/>
      <c r="P4" s="77" t="s">
        <v>73</v>
      </c>
    </row>
    <row r="5" spans="2:16" ht="14.4" customHeight="1">
      <c r="C5" s="122"/>
      <c r="D5" s="123"/>
      <c r="E5" s="123"/>
      <c r="F5" s="123"/>
      <c r="G5" s="123"/>
      <c r="H5" s="123"/>
      <c r="I5" s="124"/>
      <c r="L5" s="89"/>
      <c r="M5" s="90"/>
      <c r="N5" s="91"/>
      <c r="P5" s="77" t="s">
        <v>66</v>
      </c>
    </row>
    <row r="6" spans="2:16" ht="14.4" customHeight="1">
      <c r="C6" s="122"/>
      <c r="D6" s="123"/>
      <c r="E6" s="123"/>
      <c r="F6" s="123"/>
      <c r="G6" s="123"/>
      <c r="H6" s="123"/>
      <c r="I6" s="124"/>
      <c r="L6" s="89"/>
      <c r="M6" s="90"/>
      <c r="N6" s="91"/>
      <c r="P6" s="74" t="s">
        <v>69</v>
      </c>
    </row>
    <row r="7" spans="2:16" ht="14.4" customHeight="1">
      <c r="C7" s="122"/>
      <c r="D7" s="123"/>
      <c r="E7" s="123"/>
      <c r="F7" s="123"/>
      <c r="G7" s="123"/>
      <c r="H7" s="123"/>
      <c r="I7" s="124"/>
      <c r="L7" s="89"/>
      <c r="M7" s="90"/>
      <c r="N7" s="91"/>
      <c r="P7" s="75" t="s">
        <v>84</v>
      </c>
    </row>
    <row r="8" spans="2:16">
      <c r="C8" s="122"/>
      <c r="D8" s="123"/>
      <c r="E8" s="123"/>
      <c r="F8" s="123"/>
      <c r="G8" s="123"/>
      <c r="H8" s="123"/>
      <c r="I8" s="124"/>
      <c r="L8" s="92" t="s">
        <v>465</v>
      </c>
      <c r="M8" s="90"/>
      <c r="N8" s="91"/>
      <c r="P8" s="78" t="s">
        <v>84</v>
      </c>
    </row>
    <row r="9" spans="2:16">
      <c r="C9" s="122"/>
      <c r="D9" s="123"/>
      <c r="E9" s="123"/>
      <c r="F9" s="123"/>
      <c r="G9" s="123"/>
      <c r="H9" s="123"/>
      <c r="I9" s="124"/>
      <c r="L9" s="93"/>
      <c r="M9" s="90"/>
      <c r="N9" s="91"/>
      <c r="P9" s="78" t="s">
        <v>54</v>
      </c>
    </row>
    <row r="10" spans="2:16">
      <c r="C10" s="122"/>
      <c r="D10" s="123"/>
      <c r="E10" s="123"/>
      <c r="F10" s="123"/>
      <c r="G10" s="123"/>
      <c r="H10" s="123"/>
      <c r="I10" s="124"/>
      <c r="L10" s="94" t="s">
        <v>458</v>
      </c>
      <c r="M10" s="90"/>
      <c r="N10" s="91"/>
      <c r="P10" s="77" t="s">
        <v>42</v>
      </c>
    </row>
    <row r="11" spans="2:16">
      <c r="C11" s="122"/>
      <c r="D11" s="123"/>
      <c r="E11" s="123"/>
      <c r="F11" s="123"/>
      <c r="G11" s="123"/>
      <c r="H11" s="123"/>
      <c r="I11" s="124"/>
      <c r="L11" s="94" t="s">
        <v>458</v>
      </c>
      <c r="M11" s="90"/>
      <c r="N11" s="91"/>
      <c r="P11" s="77" t="s">
        <v>54</v>
      </c>
    </row>
    <row r="12" spans="2:16" ht="15" thickBot="1">
      <c r="C12" s="125"/>
      <c r="D12" s="126"/>
      <c r="E12" s="126"/>
      <c r="F12" s="126"/>
      <c r="G12" s="126"/>
      <c r="H12" s="126"/>
      <c r="I12" s="127"/>
      <c r="L12" s="92" t="s">
        <v>466</v>
      </c>
      <c r="M12" s="90"/>
      <c r="N12" s="91"/>
      <c r="P12" s="78" t="s">
        <v>52</v>
      </c>
    </row>
    <row r="13" spans="2:16" ht="15" thickBot="1">
      <c r="L13" s="95"/>
      <c r="M13" s="96"/>
      <c r="N13" s="97"/>
      <c r="P13" s="77" t="s">
        <v>77</v>
      </c>
    </row>
    <row r="14" spans="2:16">
      <c r="B14" s="10" t="s">
        <v>27</v>
      </c>
      <c r="C14" s="11" t="s">
        <v>28</v>
      </c>
      <c r="D14" s="12" t="s">
        <v>29</v>
      </c>
      <c r="E14" s="13" t="s">
        <v>30</v>
      </c>
      <c r="F14" s="14" t="s">
        <v>31</v>
      </c>
      <c r="G14" s="15" t="s">
        <v>32</v>
      </c>
      <c r="H14" s="16" t="s">
        <v>33</v>
      </c>
      <c r="I14" s="17" t="s">
        <v>34</v>
      </c>
      <c r="J14" s="18" t="s">
        <v>35</v>
      </c>
      <c r="K14" s="19" t="s">
        <v>36</v>
      </c>
      <c r="L14" s="85" t="s">
        <v>37</v>
      </c>
      <c r="P14" s="81" t="s">
        <v>42</v>
      </c>
    </row>
    <row r="15" spans="2:16">
      <c r="P15" s="77" t="s">
        <v>73</v>
      </c>
    </row>
    <row r="16" spans="2:16">
      <c r="B16" s="118" t="s">
        <v>456</v>
      </c>
      <c r="C16" s="118"/>
      <c r="D16" s="118"/>
      <c r="H16" s="118" t="s">
        <v>457</v>
      </c>
      <c r="I16" s="118"/>
      <c r="J16" s="118"/>
      <c r="K16" s="20"/>
      <c r="N16" s="21"/>
      <c r="P16" s="77" t="s">
        <v>84</v>
      </c>
    </row>
    <row r="17" spans="2:16">
      <c r="B17" s="81" t="s">
        <v>41</v>
      </c>
      <c r="C17" s="78" t="s">
        <v>48</v>
      </c>
      <c r="D17" s="79">
        <v>860</v>
      </c>
      <c r="H17" s="78" t="s">
        <v>41</v>
      </c>
      <c r="I17" s="74" t="s">
        <v>41</v>
      </c>
      <c r="J17" s="83" t="s">
        <v>44</v>
      </c>
      <c r="L17" s="20"/>
      <c r="N17" s="20"/>
      <c r="P17" s="78" t="s">
        <v>54</v>
      </c>
    </row>
    <row r="18" spans="2:16">
      <c r="B18" s="77" t="s">
        <v>78</v>
      </c>
      <c r="C18" s="74" t="s">
        <v>70</v>
      </c>
      <c r="D18" s="76">
        <v>910</v>
      </c>
      <c r="H18" s="79" t="s">
        <v>44</v>
      </c>
      <c r="I18" s="77" t="s">
        <v>69</v>
      </c>
      <c r="J18" s="77" t="s">
        <v>44</v>
      </c>
      <c r="P18" s="81" t="s">
        <v>73</v>
      </c>
    </row>
    <row r="19" spans="2:16">
      <c r="B19" s="77">
        <v>850</v>
      </c>
      <c r="C19" s="78" t="s">
        <v>54</v>
      </c>
      <c r="D19" s="77" t="s">
        <v>41</v>
      </c>
      <c r="H19" s="77" t="s">
        <v>97</v>
      </c>
      <c r="I19" s="78" t="s">
        <v>48</v>
      </c>
      <c r="J19" s="75" t="s">
        <v>100</v>
      </c>
      <c r="P19" s="81" t="s">
        <v>73</v>
      </c>
    </row>
    <row r="20" spans="2:16">
      <c r="B20" s="77" t="s">
        <v>44</v>
      </c>
      <c r="C20" s="78" t="s">
        <v>70</v>
      </c>
      <c r="D20" s="77" t="s">
        <v>49</v>
      </c>
      <c r="H20" s="75" t="s">
        <v>44</v>
      </c>
      <c r="I20" s="77" t="s">
        <v>50</v>
      </c>
      <c r="J20" s="77" t="s">
        <v>73</v>
      </c>
      <c r="P20" s="83" t="s">
        <v>63</v>
      </c>
    </row>
    <row r="21" spans="2:16">
      <c r="B21" s="81" t="s">
        <v>69</v>
      </c>
      <c r="C21" s="80">
        <v>580</v>
      </c>
      <c r="D21" s="24">
        <v>32311</v>
      </c>
      <c r="H21" s="81" t="s">
        <v>44</v>
      </c>
      <c r="I21" s="77" t="s">
        <v>85</v>
      </c>
      <c r="J21" s="78" t="s">
        <v>47</v>
      </c>
    </row>
    <row r="22" spans="2:16">
      <c r="B22" s="77" t="s">
        <v>70</v>
      </c>
      <c r="C22" s="74" t="s">
        <v>79</v>
      </c>
      <c r="D22" s="78" t="s">
        <v>101</v>
      </c>
      <c r="E22" s="22"/>
      <c r="H22" s="77" t="s">
        <v>60</v>
      </c>
      <c r="I22" s="65">
        <v>43854</v>
      </c>
      <c r="J22" s="78" t="s">
        <v>78</v>
      </c>
    </row>
    <row r="23" spans="2:16">
      <c r="B23" s="75" t="s">
        <v>69</v>
      </c>
      <c r="C23" s="76" t="s">
        <v>66</v>
      </c>
      <c r="D23" s="79" t="s">
        <v>44</v>
      </c>
      <c r="H23" s="75" t="s">
        <v>96</v>
      </c>
      <c r="I23" s="77" t="s">
        <v>41</v>
      </c>
      <c r="J23" s="77" t="s">
        <v>66</v>
      </c>
    </row>
    <row r="24" spans="2:16">
      <c r="B24" s="83" t="s">
        <v>41</v>
      </c>
      <c r="C24" s="98">
        <v>770</v>
      </c>
      <c r="D24" s="79" t="s">
        <v>102</v>
      </c>
      <c r="H24" s="77" t="s">
        <v>103</v>
      </c>
      <c r="I24" s="78" t="s">
        <v>73</v>
      </c>
      <c r="J24" s="74" t="s">
        <v>38</v>
      </c>
    </row>
    <row r="25" spans="2:16">
      <c r="B25" s="74" t="s">
        <v>68</v>
      </c>
      <c r="C25" s="25">
        <v>44107</v>
      </c>
      <c r="D25" s="79" t="s">
        <v>38</v>
      </c>
      <c r="H25" s="76" t="s">
        <v>89</v>
      </c>
      <c r="I25" s="66">
        <v>43937</v>
      </c>
      <c r="J25" s="69">
        <v>44107</v>
      </c>
    </row>
    <row r="26" spans="2:16">
      <c r="B26" s="25">
        <v>19968</v>
      </c>
      <c r="C26" s="67">
        <v>20104</v>
      </c>
      <c r="D26" s="75" t="s">
        <v>46</v>
      </c>
      <c r="E26" s="22"/>
      <c r="H26" s="23">
        <v>44107</v>
      </c>
      <c r="I26" s="75" t="s">
        <v>69</v>
      </c>
      <c r="J26" s="77" t="s">
        <v>90</v>
      </c>
    </row>
    <row r="27" spans="2:16">
      <c r="B27" s="78">
        <v>580</v>
      </c>
      <c r="C27" s="74" t="s">
        <v>85</v>
      </c>
      <c r="D27" s="79">
        <v>850</v>
      </c>
      <c r="H27" s="77">
        <v>690</v>
      </c>
      <c r="I27" s="75" t="s">
        <v>52</v>
      </c>
      <c r="J27" s="74" t="s">
        <v>69</v>
      </c>
    </row>
    <row r="28" spans="2:16">
      <c r="B28" s="75" t="s">
        <v>70</v>
      </c>
      <c r="C28" s="76" t="s">
        <v>39</v>
      </c>
      <c r="D28" s="75" t="s">
        <v>49</v>
      </c>
      <c r="H28" s="76" t="s">
        <v>78</v>
      </c>
      <c r="I28" s="78" t="s">
        <v>86</v>
      </c>
      <c r="J28" s="75" t="s">
        <v>84</v>
      </c>
    </row>
    <row r="29" spans="2:16">
      <c r="B29" s="77" t="s">
        <v>97</v>
      </c>
      <c r="C29" s="78" t="s">
        <v>56</v>
      </c>
      <c r="D29" s="69">
        <v>44059</v>
      </c>
      <c r="H29" s="78">
        <v>860</v>
      </c>
      <c r="I29" s="65">
        <v>19251</v>
      </c>
      <c r="J29" s="78" t="s">
        <v>84</v>
      </c>
    </row>
    <row r="30" spans="2:16">
      <c r="B30" s="77" t="s">
        <v>60</v>
      </c>
      <c r="C30" s="79" t="s">
        <v>85</v>
      </c>
      <c r="D30" s="79" t="s">
        <v>44</v>
      </c>
      <c r="H30" s="77" t="s">
        <v>48</v>
      </c>
      <c r="I30" s="76" t="s">
        <v>45</v>
      </c>
      <c r="J30" s="78" t="s">
        <v>92</v>
      </c>
    </row>
    <row r="31" spans="2:16">
      <c r="B31" s="77" t="s">
        <v>49</v>
      </c>
      <c r="C31" s="83" t="s">
        <v>78</v>
      </c>
      <c r="D31" s="78" t="s">
        <v>41</v>
      </c>
      <c r="H31" s="25">
        <v>43940</v>
      </c>
      <c r="I31" s="76" t="s">
        <v>54</v>
      </c>
      <c r="J31" s="65">
        <v>43845</v>
      </c>
    </row>
    <row r="32" spans="2:16">
      <c r="B32" s="25">
        <v>25633</v>
      </c>
      <c r="C32" s="78" t="s">
        <v>50</v>
      </c>
      <c r="D32" s="78" t="s">
        <v>43</v>
      </c>
      <c r="H32" s="74" t="s">
        <v>64</v>
      </c>
      <c r="I32" s="76" t="s">
        <v>38</v>
      </c>
      <c r="J32" s="83" t="s">
        <v>47</v>
      </c>
    </row>
    <row r="33" spans="2:10">
      <c r="B33" s="76" t="s">
        <v>38</v>
      </c>
      <c r="C33" s="81" t="s">
        <v>43</v>
      </c>
      <c r="D33" s="66">
        <v>31195</v>
      </c>
      <c r="H33" s="76" t="s">
        <v>60</v>
      </c>
      <c r="I33" s="77" t="s">
        <v>44</v>
      </c>
      <c r="J33" s="81" t="s">
        <v>59</v>
      </c>
    </row>
    <row r="34" spans="2:10">
      <c r="B34" s="74" t="s">
        <v>38</v>
      </c>
      <c r="C34" s="25">
        <v>43854</v>
      </c>
      <c r="D34" s="78">
        <v>850</v>
      </c>
      <c r="H34" s="75" t="s">
        <v>62</v>
      </c>
      <c r="I34" s="74" t="s">
        <v>85</v>
      </c>
      <c r="J34" s="25">
        <v>44075</v>
      </c>
    </row>
    <row r="35" spans="2:10">
      <c r="B35" s="77" t="s">
        <v>96</v>
      </c>
      <c r="C35" s="76" t="s">
        <v>50</v>
      </c>
      <c r="D35" s="24">
        <v>43912</v>
      </c>
      <c r="H35" s="79" t="s">
        <v>43</v>
      </c>
      <c r="I35" s="78" t="s">
        <v>93</v>
      </c>
      <c r="J35" s="77" t="s">
        <v>79</v>
      </c>
    </row>
    <row r="36" spans="2:10">
      <c r="B36" s="74" t="s">
        <v>38</v>
      </c>
      <c r="C36" s="78" t="s">
        <v>44</v>
      </c>
      <c r="D36" s="65">
        <v>44075</v>
      </c>
      <c r="H36" s="78">
        <v>770</v>
      </c>
      <c r="I36" s="65">
        <v>44059</v>
      </c>
      <c r="J36" s="81" t="s">
        <v>44</v>
      </c>
    </row>
    <row r="37" spans="2:10">
      <c r="B37" s="77" t="s">
        <v>38</v>
      </c>
      <c r="C37" s="83" t="s">
        <v>50</v>
      </c>
      <c r="D37" s="79">
        <v>2430</v>
      </c>
      <c r="E37" s="5"/>
      <c r="H37" s="66">
        <v>35492</v>
      </c>
      <c r="I37" s="77" t="s">
        <v>94</v>
      </c>
      <c r="J37" s="83" t="s">
        <v>91</v>
      </c>
    </row>
    <row r="38" spans="2:10">
      <c r="B38" s="78" t="s">
        <v>66</v>
      </c>
      <c r="C38" s="78" t="s">
        <v>58</v>
      </c>
      <c r="D38" s="79" t="s">
        <v>55</v>
      </c>
      <c r="H38" s="78" t="s">
        <v>41</v>
      </c>
      <c r="I38" s="83" t="s">
        <v>52</v>
      </c>
      <c r="J38" s="78" t="s">
        <v>54</v>
      </c>
    </row>
    <row r="39" spans="2:10">
      <c r="B39" s="83" t="s">
        <v>41</v>
      </c>
      <c r="C39" s="76">
        <v>690</v>
      </c>
      <c r="D39" s="78" t="s">
        <v>44</v>
      </c>
      <c r="H39" s="23">
        <v>43928</v>
      </c>
      <c r="I39" s="75" t="s">
        <v>38</v>
      </c>
      <c r="J39" s="78">
        <v>700</v>
      </c>
    </row>
    <row r="40" spans="2:10">
      <c r="B40" s="79" t="s">
        <v>44</v>
      </c>
      <c r="C40" s="75" t="s">
        <v>70</v>
      </c>
      <c r="D40" s="83" t="s">
        <v>80</v>
      </c>
      <c r="H40" s="79" t="s">
        <v>38</v>
      </c>
      <c r="I40" s="83" t="s">
        <v>79</v>
      </c>
      <c r="J40" s="76" t="s">
        <v>51</v>
      </c>
    </row>
    <row r="41" spans="2:10">
      <c r="B41" s="65">
        <v>44075</v>
      </c>
      <c r="C41" s="77" t="s">
        <v>52</v>
      </c>
      <c r="D41" s="75" t="s">
        <v>38</v>
      </c>
      <c r="H41" s="83" t="s">
        <v>52</v>
      </c>
      <c r="I41" s="77">
        <v>860</v>
      </c>
      <c r="J41" s="77" t="s">
        <v>60</v>
      </c>
    </row>
    <row r="42" spans="2:10">
      <c r="B42" s="76" t="s">
        <v>43</v>
      </c>
      <c r="C42" s="81" t="s">
        <v>101</v>
      </c>
      <c r="D42" s="74" t="s">
        <v>85</v>
      </c>
      <c r="H42" s="81" t="s">
        <v>41</v>
      </c>
      <c r="I42" s="74">
        <v>870</v>
      </c>
      <c r="J42" s="77" t="s">
        <v>42</v>
      </c>
    </row>
    <row r="43" spans="2:10">
      <c r="B43" s="24">
        <v>43930</v>
      </c>
      <c r="C43" s="75" t="s">
        <v>60</v>
      </c>
      <c r="D43" s="66">
        <v>19968</v>
      </c>
      <c r="H43" s="75" t="s">
        <v>47</v>
      </c>
      <c r="I43" s="65">
        <v>44075</v>
      </c>
      <c r="J43" s="68">
        <v>43937</v>
      </c>
    </row>
    <row r="44" spans="2:10">
      <c r="B44" s="23">
        <v>43940</v>
      </c>
      <c r="C44" s="69">
        <v>32311</v>
      </c>
      <c r="D44" s="81" t="s">
        <v>83</v>
      </c>
      <c r="E44" s="22"/>
      <c r="H44" s="65">
        <v>43937</v>
      </c>
      <c r="I44" s="77" t="s">
        <v>41</v>
      </c>
      <c r="J44" s="78" t="s">
        <v>58</v>
      </c>
    </row>
    <row r="45" spans="2:10">
      <c r="B45" s="79" t="s">
        <v>53</v>
      </c>
      <c r="C45" s="76" t="s">
        <v>66</v>
      </c>
      <c r="D45" s="78" t="s">
        <v>38</v>
      </c>
      <c r="H45" s="65">
        <v>43940</v>
      </c>
      <c r="I45" s="76">
        <v>770</v>
      </c>
      <c r="J45" s="78" t="s">
        <v>79</v>
      </c>
    </row>
    <row r="46" spans="2:10">
      <c r="B46" s="81" t="s">
        <v>44</v>
      </c>
      <c r="C46" s="77" t="s">
        <v>73</v>
      </c>
      <c r="D46" s="74" t="s">
        <v>81</v>
      </c>
      <c r="H46" s="78">
        <v>850</v>
      </c>
      <c r="I46" s="75">
        <v>720</v>
      </c>
      <c r="J46" s="77" t="s">
        <v>54</v>
      </c>
    </row>
    <row r="47" spans="2:10">
      <c r="B47" s="81" t="s">
        <v>38</v>
      </c>
      <c r="C47" s="23">
        <v>31821</v>
      </c>
      <c r="D47" s="66">
        <v>20104</v>
      </c>
      <c r="E47" s="22"/>
      <c r="H47" s="83" t="s">
        <v>38</v>
      </c>
      <c r="I47" s="77" t="s">
        <v>38</v>
      </c>
      <c r="J47" s="74" t="s">
        <v>60</v>
      </c>
    </row>
    <row r="48" spans="2:10">
      <c r="B48" s="78" t="s">
        <v>57</v>
      </c>
      <c r="C48" s="74" t="s">
        <v>63</v>
      </c>
      <c r="D48" s="23">
        <v>32311</v>
      </c>
      <c r="E48" s="22"/>
      <c r="H48" s="76" t="s">
        <v>58</v>
      </c>
      <c r="I48" s="83" t="s">
        <v>38</v>
      </c>
      <c r="J48" s="78" t="s">
        <v>52</v>
      </c>
    </row>
    <row r="49" spans="2:10">
      <c r="B49" s="74" t="s">
        <v>60</v>
      </c>
      <c r="C49" s="77" t="s">
        <v>43</v>
      </c>
      <c r="D49" s="69">
        <v>43854</v>
      </c>
      <c r="H49" s="69">
        <v>44059</v>
      </c>
      <c r="I49" s="81" t="s">
        <v>44</v>
      </c>
      <c r="J49" s="81" t="s">
        <v>78</v>
      </c>
    </row>
    <row r="50" spans="2:10">
      <c r="B50" s="81" t="s">
        <v>85</v>
      </c>
      <c r="C50" s="77" t="s">
        <v>64</v>
      </c>
      <c r="D50" s="77" t="s">
        <v>66</v>
      </c>
      <c r="H50" s="67">
        <v>44108</v>
      </c>
      <c r="I50" s="75" t="s">
        <v>79</v>
      </c>
      <c r="J50" s="78" t="s">
        <v>41</v>
      </c>
    </row>
    <row r="51" spans="2:10">
      <c r="B51" s="23">
        <v>43940</v>
      </c>
      <c r="C51" s="84">
        <v>870</v>
      </c>
      <c r="D51" s="83" t="s">
        <v>73</v>
      </c>
      <c r="H51" s="66">
        <v>43930</v>
      </c>
      <c r="I51" s="79" t="s">
        <v>105</v>
      </c>
      <c r="J51" s="77" t="s">
        <v>67</v>
      </c>
    </row>
    <row r="52" spans="2:10">
      <c r="B52" s="79" t="s">
        <v>42</v>
      </c>
      <c r="C52" s="98">
        <v>870</v>
      </c>
      <c r="D52" s="83" t="s">
        <v>52</v>
      </c>
      <c r="E52" s="22"/>
      <c r="H52" s="65">
        <v>20104</v>
      </c>
      <c r="I52" s="76" t="s">
        <v>41</v>
      </c>
      <c r="J52" s="74" t="s">
        <v>43</v>
      </c>
    </row>
    <row r="53" spans="2:10">
      <c r="B53" s="81" t="s">
        <v>79</v>
      </c>
      <c r="C53" s="83" t="s">
        <v>68</v>
      </c>
      <c r="D53" s="74" t="s">
        <v>41</v>
      </c>
      <c r="E53" s="5"/>
      <c r="H53" s="74" t="s">
        <v>38</v>
      </c>
      <c r="I53" s="78" t="s">
        <v>60</v>
      </c>
      <c r="J53" s="77">
        <v>700</v>
      </c>
    </row>
    <row r="54" spans="2:10">
      <c r="B54" s="77" t="s">
        <v>56</v>
      </c>
      <c r="C54" s="79" t="s">
        <v>40</v>
      </c>
      <c r="D54" s="65">
        <v>43845</v>
      </c>
      <c r="E54" s="22"/>
      <c r="H54" s="81" t="s">
        <v>46</v>
      </c>
      <c r="I54" s="78" t="s">
        <v>44</v>
      </c>
      <c r="J54" s="78" t="s">
        <v>65</v>
      </c>
    </row>
    <row r="55" spans="2:10">
      <c r="B55" s="74">
        <v>236</v>
      </c>
      <c r="C55" s="76" t="s">
        <v>103</v>
      </c>
      <c r="D55" s="78" t="s">
        <v>47</v>
      </c>
      <c r="E55" s="5"/>
      <c r="H55" s="79" t="s">
        <v>44</v>
      </c>
      <c r="I55" s="75" t="s">
        <v>41</v>
      </c>
      <c r="J55" s="83" t="s">
        <v>91</v>
      </c>
    </row>
    <row r="56" spans="2:10">
      <c r="B56" s="75" t="s">
        <v>77</v>
      </c>
      <c r="C56" s="77" t="s">
        <v>46</v>
      </c>
      <c r="D56" s="81" t="s">
        <v>85</v>
      </c>
      <c r="H56" s="79" t="s">
        <v>41</v>
      </c>
      <c r="I56" s="77" t="s">
        <v>43</v>
      </c>
      <c r="J56" s="81" t="s">
        <v>98</v>
      </c>
    </row>
    <row r="57" spans="2:10">
      <c r="B57" s="77">
        <v>236</v>
      </c>
      <c r="C57" s="78" t="s">
        <v>62</v>
      </c>
      <c r="D57" s="83" t="s">
        <v>38</v>
      </c>
      <c r="E57" s="22"/>
      <c r="H57" s="75" t="s">
        <v>60</v>
      </c>
      <c r="I57" s="81">
        <v>860</v>
      </c>
      <c r="J57" s="81" t="s">
        <v>105</v>
      </c>
    </row>
    <row r="58" spans="2:10">
      <c r="B58" s="65">
        <v>43940</v>
      </c>
      <c r="C58" s="24">
        <v>580</v>
      </c>
      <c r="D58" s="24">
        <v>43937</v>
      </c>
      <c r="E58" s="22"/>
      <c r="H58" s="77">
        <v>860</v>
      </c>
      <c r="I58" s="81" t="s">
        <v>86</v>
      </c>
      <c r="J58" s="77" t="s">
        <v>57</v>
      </c>
    </row>
    <row r="59" spans="2:10">
      <c r="B59" s="78" t="s">
        <v>58</v>
      </c>
      <c r="C59" s="79" t="s">
        <v>76</v>
      </c>
      <c r="D59" s="77" t="s">
        <v>85</v>
      </c>
      <c r="E59" s="5"/>
      <c r="H59" s="78" t="s">
        <v>54</v>
      </c>
      <c r="I59" s="66">
        <v>790</v>
      </c>
      <c r="J59" s="77" t="s">
        <v>83</v>
      </c>
    </row>
    <row r="60" spans="2:10">
      <c r="B60" s="23">
        <v>25633</v>
      </c>
      <c r="C60" s="83" t="s">
        <v>41</v>
      </c>
      <c r="D60" s="69">
        <v>19968</v>
      </c>
      <c r="E60" s="5"/>
      <c r="H60" s="77" t="s">
        <v>58</v>
      </c>
      <c r="I60" s="69">
        <v>32311</v>
      </c>
      <c r="J60" s="83" t="s">
        <v>59</v>
      </c>
    </row>
    <row r="61" spans="2:10">
      <c r="B61" s="79" t="s">
        <v>57</v>
      </c>
      <c r="C61" s="83" t="s">
        <v>59</v>
      </c>
      <c r="D61" s="75" t="s">
        <v>68</v>
      </c>
      <c r="H61" s="77" t="s">
        <v>44</v>
      </c>
      <c r="I61" s="76" t="s">
        <v>47</v>
      </c>
      <c r="J61" s="76" t="s">
        <v>64</v>
      </c>
    </row>
    <row r="62" spans="2:10">
      <c r="B62" s="78" t="s">
        <v>69</v>
      </c>
      <c r="C62" s="69">
        <v>43912</v>
      </c>
      <c r="D62" s="77" t="s">
        <v>50</v>
      </c>
      <c r="H62" s="67">
        <v>43937</v>
      </c>
      <c r="I62" s="66">
        <v>43940</v>
      </c>
      <c r="J62" s="65">
        <v>31821</v>
      </c>
    </row>
    <row r="63" spans="2:10">
      <c r="B63" s="83" t="s">
        <v>64</v>
      </c>
      <c r="C63" s="67">
        <v>31195</v>
      </c>
      <c r="D63" s="83" t="s">
        <v>78</v>
      </c>
      <c r="E63" s="5"/>
      <c r="H63" s="81" t="s">
        <v>104</v>
      </c>
      <c r="I63" s="77" t="s">
        <v>87</v>
      </c>
      <c r="J63" s="75" t="s">
        <v>46</v>
      </c>
    </row>
    <row r="64" spans="2:10">
      <c r="B64" s="81" t="s">
        <v>88</v>
      </c>
      <c r="C64" s="82">
        <v>850</v>
      </c>
      <c r="D64" s="81" t="s">
        <v>74</v>
      </c>
      <c r="H64" s="75" t="s">
        <v>96</v>
      </c>
      <c r="I64" s="69">
        <v>860</v>
      </c>
      <c r="J64" s="76">
        <v>860</v>
      </c>
    </row>
    <row r="65" spans="2:10">
      <c r="B65" s="78" t="s">
        <v>92</v>
      </c>
      <c r="C65" s="77" t="s">
        <v>60</v>
      </c>
      <c r="D65" s="76" t="s">
        <v>52</v>
      </c>
      <c r="H65" s="78" t="s">
        <v>41</v>
      </c>
      <c r="I65" s="76" t="s">
        <v>54</v>
      </c>
      <c r="J65" s="77" t="s">
        <v>77</v>
      </c>
    </row>
    <row r="66" spans="2:10">
      <c r="B66" s="83" t="s">
        <v>41</v>
      </c>
      <c r="C66" s="69">
        <v>19251</v>
      </c>
      <c r="D66" s="81">
        <v>860</v>
      </c>
      <c r="E66" s="22"/>
      <c r="H66" s="75" t="s">
        <v>41</v>
      </c>
      <c r="I66" s="81" t="s">
        <v>44</v>
      </c>
      <c r="J66" s="74" t="s">
        <v>88</v>
      </c>
    </row>
    <row r="67" spans="2:10">
      <c r="B67" s="67">
        <v>24748</v>
      </c>
      <c r="C67" s="25">
        <v>44095</v>
      </c>
      <c r="D67" s="69">
        <v>19968</v>
      </c>
      <c r="H67" s="77" t="s">
        <v>94</v>
      </c>
      <c r="I67" s="76" t="s">
        <v>100</v>
      </c>
      <c r="J67" s="78" t="s">
        <v>104</v>
      </c>
    </row>
    <row r="68" spans="2:10">
      <c r="B68" s="25">
        <v>31195</v>
      </c>
      <c r="C68" s="81" t="s">
        <v>60</v>
      </c>
      <c r="D68" s="81" t="s">
        <v>41</v>
      </c>
      <c r="E68" s="22"/>
      <c r="H68" s="81" t="s">
        <v>43</v>
      </c>
      <c r="I68" s="76" t="s">
        <v>57</v>
      </c>
      <c r="J68" s="81" t="s">
        <v>85</v>
      </c>
    </row>
    <row r="69" spans="2:10">
      <c r="B69" s="83" t="s">
        <v>60</v>
      </c>
      <c r="C69" s="78" t="s">
        <v>95</v>
      </c>
      <c r="D69" s="79" t="s">
        <v>44</v>
      </c>
      <c r="H69" s="25">
        <v>43854</v>
      </c>
      <c r="I69" s="75" t="s">
        <v>50</v>
      </c>
      <c r="J69" s="25">
        <v>24748</v>
      </c>
    </row>
    <row r="70" spans="2:10">
      <c r="B70" s="83" t="s">
        <v>79</v>
      </c>
      <c r="C70" s="68">
        <v>43937</v>
      </c>
      <c r="D70" s="65">
        <v>31821</v>
      </c>
      <c r="H70" s="81" t="s">
        <v>60</v>
      </c>
      <c r="I70" s="81">
        <v>2430</v>
      </c>
      <c r="J70" s="77" t="s">
        <v>41</v>
      </c>
    </row>
    <row r="71" spans="2:10">
      <c r="B71" s="65">
        <v>31821</v>
      </c>
      <c r="C71" s="67">
        <v>44108</v>
      </c>
      <c r="D71" s="65">
        <v>19251</v>
      </c>
      <c r="E71" s="22"/>
      <c r="H71" s="75">
        <v>870</v>
      </c>
      <c r="I71" s="81">
        <v>910</v>
      </c>
      <c r="J71" s="69">
        <v>43912</v>
      </c>
    </row>
    <row r="72" spans="2:10">
      <c r="B72" s="76" t="s">
        <v>79</v>
      </c>
      <c r="C72" s="74" t="s">
        <v>60</v>
      </c>
      <c r="D72" s="79" t="s">
        <v>52</v>
      </c>
      <c r="H72" s="77" t="s">
        <v>52</v>
      </c>
      <c r="I72" s="75" t="s">
        <v>50</v>
      </c>
      <c r="J72" s="83" t="s">
        <v>44</v>
      </c>
    </row>
    <row r="73" spans="2:10">
      <c r="B73" s="74" t="s">
        <v>44</v>
      </c>
      <c r="C73" s="75" t="s">
        <v>84</v>
      </c>
      <c r="D73" s="79" t="s">
        <v>58</v>
      </c>
      <c r="H73" s="83" t="s">
        <v>38</v>
      </c>
      <c r="I73" s="77">
        <v>700</v>
      </c>
      <c r="J73" s="78">
        <v>850</v>
      </c>
    </row>
    <row r="74" spans="2:10">
      <c r="B74" s="81" t="s">
        <v>98</v>
      </c>
      <c r="C74" s="75">
        <v>700</v>
      </c>
      <c r="D74" s="75" t="s">
        <v>39</v>
      </c>
      <c r="H74" s="83" t="s">
        <v>90</v>
      </c>
      <c r="I74" s="77" t="s">
        <v>48</v>
      </c>
      <c r="J74" s="69">
        <v>43937</v>
      </c>
    </row>
    <row r="75" spans="2:10">
      <c r="B75" s="75">
        <v>710</v>
      </c>
      <c r="C75" s="76" t="s">
        <v>44</v>
      </c>
      <c r="D75" s="77" t="s">
        <v>85</v>
      </c>
      <c r="H75" s="81" t="s">
        <v>41</v>
      </c>
      <c r="I75" s="75">
        <v>690</v>
      </c>
      <c r="J75" s="83" t="s">
        <v>46</v>
      </c>
    </row>
    <row r="76" spans="2:10">
      <c r="B76" s="77" t="s">
        <v>66</v>
      </c>
      <c r="C76" s="81" t="s">
        <v>41</v>
      </c>
      <c r="D76" s="77" t="s">
        <v>38</v>
      </c>
      <c r="H76" s="78" t="s">
        <v>84</v>
      </c>
      <c r="I76" s="77" t="s">
        <v>38</v>
      </c>
      <c r="J76" s="81">
        <v>2430</v>
      </c>
    </row>
    <row r="77" spans="2:10">
      <c r="B77" s="81" t="s">
        <v>63</v>
      </c>
      <c r="C77" s="66">
        <v>44059</v>
      </c>
      <c r="D77" s="65">
        <v>43854</v>
      </c>
      <c r="H77" s="74" t="s">
        <v>43</v>
      </c>
      <c r="I77" s="23">
        <v>44059</v>
      </c>
      <c r="J77" s="78" t="s">
        <v>62</v>
      </c>
    </row>
    <row r="78" spans="2:10">
      <c r="B78" s="75" t="s">
        <v>68</v>
      </c>
      <c r="C78" s="68">
        <v>43845</v>
      </c>
      <c r="D78" s="23">
        <v>43854</v>
      </c>
      <c r="E78" s="22"/>
      <c r="H78" s="23">
        <v>43937</v>
      </c>
      <c r="I78" s="77" t="s">
        <v>38</v>
      </c>
      <c r="J78" s="77" t="s">
        <v>75</v>
      </c>
    </row>
    <row r="79" spans="2:10">
      <c r="B79" s="79" t="s">
        <v>73</v>
      </c>
      <c r="C79" s="66">
        <v>43937</v>
      </c>
      <c r="D79" s="74" t="s">
        <v>52</v>
      </c>
      <c r="H79" s="79" t="s">
        <v>48</v>
      </c>
      <c r="I79" s="75" t="s">
        <v>69</v>
      </c>
      <c r="J79" s="79" t="s">
        <v>90</v>
      </c>
    </row>
    <row r="80" spans="2:10">
      <c r="B80" s="69">
        <v>44075</v>
      </c>
      <c r="C80" s="76" t="s">
        <v>44</v>
      </c>
      <c r="D80" s="78" t="s">
        <v>44</v>
      </c>
      <c r="H80" s="77" t="s">
        <v>87</v>
      </c>
      <c r="I80" s="81" t="s">
        <v>95</v>
      </c>
      <c r="J80" s="78" t="s">
        <v>60</v>
      </c>
    </row>
    <row r="81" spans="2:10">
      <c r="B81" s="66">
        <v>43845</v>
      </c>
      <c r="C81" s="83" t="s">
        <v>94</v>
      </c>
      <c r="D81" s="81" t="s">
        <v>38</v>
      </c>
      <c r="H81" s="78" t="s">
        <v>41</v>
      </c>
      <c r="I81" s="81" t="s">
        <v>71</v>
      </c>
      <c r="J81" s="81" t="s">
        <v>42</v>
      </c>
    </row>
    <row r="82" spans="2:10">
      <c r="B82" s="66">
        <v>43930</v>
      </c>
      <c r="C82" s="81" t="s">
        <v>38</v>
      </c>
      <c r="D82" s="23">
        <v>44059</v>
      </c>
      <c r="H82" s="65">
        <v>19968</v>
      </c>
      <c r="I82" s="75" t="s">
        <v>51</v>
      </c>
      <c r="J82" s="77" t="s">
        <v>73</v>
      </c>
    </row>
    <row r="83" spans="2:10">
      <c r="B83" s="74" t="s">
        <v>72</v>
      </c>
      <c r="C83" s="77" t="s">
        <v>79</v>
      </c>
      <c r="D83" s="81" t="s">
        <v>38</v>
      </c>
      <c r="H83" s="76">
        <v>690</v>
      </c>
      <c r="I83" s="76" t="s">
        <v>44</v>
      </c>
      <c r="J83" s="78" t="s">
        <v>59</v>
      </c>
    </row>
    <row r="84" spans="2:10">
      <c r="B84" s="81" t="s">
        <v>52</v>
      </c>
      <c r="C84" s="77" t="s">
        <v>41</v>
      </c>
      <c r="D84" s="83" t="s">
        <v>44</v>
      </c>
      <c r="E84" s="5"/>
      <c r="H84" s="69">
        <v>44059</v>
      </c>
      <c r="I84" s="67">
        <v>44075</v>
      </c>
      <c r="J84" s="81" t="s">
        <v>41</v>
      </c>
    </row>
    <row r="85" spans="2:10">
      <c r="B85" s="76">
        <v>850</v>
      </c>
      <c r="C85" s="80">
        <v>870</v>
      </c>
      <c r="D85" s="75" t="s">
        <v>44</v>
      </c>
      <c r="H85" s="77">
        <v>860</v>
      </c>
      <c r="I85" s="76" t="s">
        <v>94</v>
      </c>
      <c r="J85" s="75" t="s">
        <v>38</v>
      </c>
    </row>
    <row r="86" spans="2:10">
      <c r="B86" s="76" t="s">
        <v>49</v>
      </c>
      <c r="C86" s="77" t="s">
        <v>60</v>
      </c>
      <c r="D86" s="81" t="s">
        <v>85</v>
      </c>
      <c r="E86" s="22"/>
      <c r="H86" s="81" t="s">
        <v>60</v>
      </c>
      <c r="I86" s="75" t="s">
        <v>44</v>
      </c>
      <c r="J86" s="23">
        <v>44075</v>
      </c>
    </row>
    <row r="87" spans="2:10">
      <c r="B87" s="79" t="s">
        <v>44</v>
      </c>
      <c r="C87" s="75" t="s">
        <v>38</v>
      </c>
      <c r="D87" s="78" t="s">
        <v>41</v>
      </c>
      <c r="H87" s="76" t="s">
        <v>54</v>
      </c>
      <c r="I87" s="68">
        <v>720</v>
      </c>
      <c r="J87" s="77">
        <v>870</v>
      </c>
    </row>
    <row r="88" spans="2:10">
      <c r="B88" s="74" t="s">
        <v>42</v>
      </c>
      <c r="C88" s="79" t="s">
        <v>82</v>
      </c>
      <c r="D88" s="76">
        <v>860</v>
      </c>
      <c r="H88" s="75" t="s">
        <v>48</v>
      </c>
      <c r="I88" s="81">
        <v>910</v>
      </c>
      <c r="J88" s="75" t="s">
        <v>51</v>
      </c>
    </row>
    <row r="89" spans="2:10">
      <c r="B89" s="23">
        <v>19968</v>
      </c>
      <c r="C89" s="78" t="s">
        <v>41</v>
      </c>
      <c r="D89" s="83" t="s">
        <v>43</v>
      </c>
      <c r="H89" s="67">
        <v>31821</v>
      </c>
      <c r="I89" s="79" t="s">
        <v>38</v>
      </c>
      <c r="J89" s="75" t="s">
        <v>46</v>
      </c>
    </row>
    <row r="90" spans="2:10">
      <c r="B90" s="75" t="s">
        <v>38</v>
      </c>
      <c r="C90" s="66">
        <v>860</v>
      </c>
      <c r="D90" s="77" t="s">
        <v>44</v>
      </c>
      <c r="E90" s="22"/>
      <c r="H90" s="74" t="s">
        <v>96</v>
      </c>
      <c r="I90" s="25">
        <v>44095</v>
      </c>
      <c r="J90" s="77" t="s">
        <v>84</v>
      </c>
    </row>
    <row r="91" spans="2:10">
      <c r="B91" s="76" t="s">
        <v>51</v>
      </c>
      <c r="C91" s="78" t="s">
        <v>55</v>
      </c>
      <c r="D91" s="75" t="s">
        <v>44</v>
      </c>
      <c r="H91" s="68">
        <v>43937</v>
      </c>
      <c r="I91" s="79" t="s">
        <v>44</v>
      </c>
      <c r="J91" s="77" t="s">
        <v>79</v>
      </c>
    </row>
    <row r="92" spans="2:10">
      <c r="B92" s="75" t="s">
        <v>70</v>
      </c>
      <c r="C92" s="75" t="s">
        <v>44</v>
      </c>
      <c r="D92" s="78" t="s">
        <v>38</v>
      </c>
      <c r="H92" s="76" t="s">
        <v>78</v>
      </c>
      <c r="I92" s="77">
        <v>870</v>
      </c>
      <c r="J92" s="77" t="s">
        <v>81</v>
      </c>
    </row>
    <row r="93" spans="2:10">
      <c r="B93" s="66">
        <v>44011</v>
      </c>
      <c r="C93" s="68">
        <v>31195</v>
      </c>
      <c r="D93" s="69">
        <v>32311</v>
      </c>
      <c r="H93" s="78" t="s">
        <v>77</v>
      </c>
      <c r="I93" s="77" t="s">
        <v>41</v>
      </c>
      <c r="J93" s="81" t="s">
        <v>58</v>
      </c>
    </row>
    <row r="94" spans="2:10">
      <c r="B94" s="75" t="s">
        <v>41</v>
      </c>
      <c r="C94" s="79" t="s">
        <v>70</v>
      </c>
      <c r="D94" s="65">
        <v>43940</v>
      </c>
      <c r="H94" s="76" t="s">
        <v>78</v>
      </c>
      <c r="I94" s="76" t="s">
        <v>77</v>
      </c>
      <c r="J94" s="77" t="s">
        <v>89</v>
      </c>
    </row>
    <row r="95" spans="2:10">
      <c r="B95" s="78" t="s">
        <v>47</v>
      </c>
      <c r="C95" s="67">
        <v>43928</v>
      </c>
      <c r="D95" s="76" t="s">
        <v>90</v>
      </c>
      <c r="H95" s="78" t="s">
        <v>93</v>
      </c>
      <c r="I95" s="79" t="s">
        <v>99</v>
      </c>
      <c r="J95" s="79" t="s">
        <v>43</v>
      </c>
    </row>
    <row r="96" spans="2:10">
      <c r="B96" s="25">
        <v>43912</v>
      </c>
      <c r="C96" s="78" t="s">
        <v>52</v>
      </c>
      <c r="D96" s="76" t="s">
        <v>45</v>
      </c>
      <c r="H96" s="75" t="s">
        <v>67</v>
      </c>
      <c r="I96" s="78" t="s">
        <v>46</v>
      </c>
      <c r="J96" s="76" t="s">
        <v>79</v>
      </c>
    </row>
    <row r="97" spans="2:10">
      <c r="B97" s="79" t="s">
        <v>53</v>
      </c>
      <c r="C97" s="83" t="s">
        <v>85</v>
      </c>
      <c r="D97" s="77" t="s">
        <v>105</v>
      </c>
      <c r="H97" s="79" t="s">
        <v>43</v>
      </c>
      <c r="I97" s="76">
        <v>710</v>
      </c>
      <c r="J97" s="78" t="s">
        <v>60</v>
      </c>
    </row>
    <row r="98" spans="2:10">
      <c r="B98" s="75" t="s">
        <v>38</v>
      </c>
      <c r="C98" s="83" t="s">
        <v>44</v>
      </c>
      <c r="D98" s="77" t="s">
        <v>66</v>
      </c>
      <c r="H98" s="66">
        <v>43937</v>
      </c>
      <c r="I98" s="77" t="s">
        <v>46</v>
      </c>
      <c r="J98" s="78" t="s">
        <v>54</v>
      </c>
    </row>
    <row r="99" spans="2:10">
      <c r="B99" s="76" t="s">
        <v>80</v>
      </c>
      <c r="C99" s="78" t="s">
        <v>79</v>
      </c>
      <c r="D99" s="78" t="s">
        <v>38</v>
      </c>
      <c r="E99" s="22"/>
      <c r="H99" s="78" t="s">
        <v>44</v>
      </c>
      <c r="I99" s="77" t="s">
        <v>44</v>
      </c>
      <c r="J99" s="77" t="s">
        <v>38</v>
      </c>
    </row>
    <row r="100" spans="2:10">
      <c r="B100" s="81" t="s">
        <v>41</v>
      </c>
      <c r="C100" s="77" t="s">
        <v>78</v>
      </c>
      <c r="D100" s="77" t="s">
        <v>38</v>
      </c>
      <c r="H100" s="79" t="s">
        <v>41</v>
      </c>
      <c r="I100" s="74" t="s">
        <v>73</v>
      </c>
      <c r="J100" s="81" t="s">
        <v>70</v>
      </c>
    </row>
    <row r="101" spans="2:10">
      <c r="B101" s="83">
        <v>720</v>
      </c>
      <c r="C101" s="68">
        <v>19968</v>
      </c>
      <c r="D101" s="65">
        <v>43940</v>
      </c>
      <c r="H101" s="81" t="s">
        <v>62</v>
      </c>
      <c r="I101" s="77" t="s">
        <v>66</v>
      </c>
      <c r="J101" s="81" t="s">
        <v>44</v>
      </c>
    </row>
    <row r="102" spans="2:10">
      <c r="B102" s="81" t="s">
        <v>82</v>
      </c>
      <c r="C102" s="81" t="s">
        <v>78</v>
      </c>
      <c r="D102" s="78" t="s">
        <v>70</v>
      </c>
      <c r="H102" s="74">
        <v>770</v>
      </c>
      <c r="I102" s="74" t="s">
        <v>76</v>
      </c>
      <c r="J102" s="75">
        <v>860</v>
      </c>
    </row>
    <row r="103" spans="2:10">
      <c r="B103" s="79" t="s">
        <v>70</v>
      </c>
      <c r="C103" s="75" t="s">
        <v>41</v>
      </c>
      <c r="D103" s="77" t="s">
        <v>44</v>
      </c>
      <c r="H103" s="69">
        <v>910</v>
      </c>
      <c r="I103" s="65">
        <v>43854</v>
      </c>
      <c r="J103" s="75" t="s">
        <v>43</v>
      </c>
    </row>
    <row r="104" spans="2:10">
      <c r="B104" s="66">
        <v>43928</v>
      </c>
      <c r="C104" s="74" t="s">
        <v>59</v>
      </c>
      <c r="D104" s="74">
        <v>870</v>
      </c>
      <c r="H104" s="67">
        <v>32311</v>
      </c>
      <c r="I104" s="81" t="s">
        <v>85</v>
      </c>
      <c r="J104" s="81" t="s">
        <v>46</v>
      </c>
    </row>
    <row r="105" spans="2:10">
      <c r="B105" s="81" t="s">
        <v>85</v>
      </c>
      <c r="C105" s="75">
        <v>860</v>
      </c>
      <c r="D105" s="81" t="s">
        <v>79</v>
      </c>
      <c r="H105" s="81" t="s">
        <v>38</v>
      </c>
      <c r="I105" s="78" t="s">
        <v>79</v>
      </c>
      <c r="J105" s="81" t="s">
        <v>59</v>
      </c>
    </row>
    <row r="106" spans="2:10">
      <c r="B106" s="23">
        <v>43937</v>
      </c>
      <c r="C106" s="84">
        <v>770</v>
      </c>
      <c r="D106" s="24">
        <v>44059</v>
      </c>
      <c r="H106" s="81" t="s">
        <v>44</v>
      </c>
      <c r="I106" s="83" t="s">
        <v>40</v>
      </c>
      <c r="J106" s="79" t="s">
        <v>44</v>
      </c>
    </row>
    <row r="107" spans="2:10">
      <c r="B107" s="78" t="s">
        <v>85</v>
      </c>
      <c r="C107" s="79" t="s">
        <v>60</v>
      </c>
      <c r="D107" s="83">
        <v>860</v>
      </c>
      <c r="E107" s="22"/>
      <c r="H107" s="81">
        <v>580</v>
      </c>
      <c r="I107" s="69">
        <v>31821</v>
      </c>
      <c r="J107" s="81" t="s">
        <v>73</v>
      </c>
    </row>
    <row r="108" spans="2:10">
      <c r="B108" s="66">
        <v>43930</v>
      </c>
      <c r="C108" s="77" t="s">
        <v>69</v>
      </c>
      <c r="D108" s="76" t="s">
        <v>44</v>
      </c>
      <c r="H108" s="77" t="s">
        <v>72</v>
      </c>
      <c r="I108" s="74" t="s">
        <v>39</v>
      </c>
      <c r="J108" s="66">
        <v>43928</v>
      </c>
    </row>
    <row r="109" spans="2:10">
      <c r="B109" s="78" t="s">
        <v>57</v>
      </c>
      <c r="C109" s="83" t="s">
        <v>85</v>
      </c>
      <c r="D109" s="79" t="s">
        <v>38</v>
      </c>
      <c r="E109" s="22"/>
      <c r="H109" s="78" t="s">
        <v>65</v>
      </c>
      <c r="I109" s="76" t="s">
        <v>74</v>
      </c>
      <c r="J109" s="78">
        <v>2430</v>
      </c>
    </row>
    <row r="110" spans="2:10">
      <c r="B110" s="78" t="s">
        <v>47</v>
      </c>
      <c r="C110" s="79" t="s">
        <v>50</v>
      </c>
      <c r="D110" s="65">
        <v>43937</v>
      </c>
      <c r="H110" s="81" t="s">
        <v>102</v>
      </c>
      <c r="I110" s="81" t="s">
        <v>84</v>
      </c>
      <c r="J110" s="77">
        <v>770</v>
      </c>
    </row>
    <row r="111" spans="2:10">
      <c r="B111" s="74" t="s">
        <v>85</v>
      </c>
      <c r="C111" s="82">
        <v>580</v>
      </c>
      <c r="D111" s="66">
        <v>44107</v>
      </c>
      <c r="H111" s="79" t="s">
        <v>57</v>
      </c>
      <c r="I111" s="67">
        <v>43937</v>
      </c>
      <c r="J111" s="75" t="s">
        <v>38</v>
      </c>
    </row>
    <row r="112" spans="2:10">
      <c r="B112" s="67">
        <v>32311</v>
      </c>
      <c r="C112" s="77" t="s">
        <v>73</v>
      </c>
      <c r="D112" s="66">
        <v>44059</v>
      </c>
      <c r="H112" s="76" t="s">
        <v>58</v>
      </c>
      <c r="I112" s="78" t="s">
        <v>47</v>
      </c>
      <c r="J112" s="75" t="s">
        <v>41</v>
      </c>
    </row>
    <row r="113" spans="2:23">
      <c r="B113" s="78" t="s">
        <v>86</v>
      </c>
      <c r="C113" s="76" t="s">
        <v>61</v>
      </c>
      <c r="D113" s="75">
        <v>790</v>
      </c>
      <c r="H113" s="75" t="s">
        <v>44</v>
      </c>
      <c r="I113" s="75" t="s">
        <v>41</v>
      </c>
      <c r="J113" s="76" t="s">
        <v>60</v>
      </c>
    </row>
    <row r="114" spans="2:23">
      <c r="B114" s="77">
        <v>850</v>
      </c>
      <c r="C114" s="98">
        <v>580</v>
      </c>
      <c r="D114" s="65">
        <v>19968</v>
      </c>
      <c r="E114" s="5"/>
      <c r="H114" s="74" t="s">
        <v>44</v>
      </c>
      <c r="I114" s="66">
        <v>19968</v>
      </c>
      <c r="J114" s="77" t="s">
        <v>99</v>
      </c>
    </row>
    <row r="115" spans="2:23">
      <c r="B115" s="76" t="s">
        <v>96</v>
      </c>
      <c r="C115" s="83" t="s">
        <v>75</v>
      </c>
      <c r="D115" s="69">
        <v>43854</v>
      </c>
      <c r="H115" s="83" t="s">
        <v>85</v>
      </c>
      <c r="I115" s="65">
        <v>44059</v>
      </c>
      <c r="J115" s="79" t="s">
        <v>38</v>
      </c>
    </row>
    <row r="116" spans="2:23">
      <c r="B116" s="77" t="s">
        <v>71</v>
      </c>
      <c r="C116" s="80">
        <v>870</v>
      </c>
      <c r="D116" s="68">
        <v>44059</v>
      </c>
      <c r="E116" s="5"/>
      <c r="H116" s="74" t="s">
        <v>39</v>
      </c>
      <c r="I116" s="77" t="s">
        <v>41</v>
      </c>
      <c r="J116" s="81" t="s">
        <v>73</v>
      </c>
    </row>
    <row r="117" spans="2:23">
      <c r="B117" s="79" t="s">
        <v>61</v>
      </c>
      <c r="C117" s="75" t="s">
        <v>38</v>
      </c>
      <c r="D117" s="77" t="s">
        <v>44</v>
      </c>
      <c r="H117" s="79" t="s">
        <v>44</v>
      </c>
      <c r="I117" s="83" t="s">
        <v>41</v>
      </c>
      <c r="J117" s="78" t="s">
        <v>43</v>
      </c>
    </row>
    <row r="118" spans="2:23">
      <c r="B118" s="76" t="s">
        <v>41</v>
      </c>
      <c r="C118" s="67">
        <v>44011</v>
      </c>
      <c r="D118" s="67">
        <v>19968</v>
      </c>
      <c r="E118" s="26"/>
      <c r="F118" s="27"/>
      <c r="G118" s="27"/>
      <c r="H118" s="81">
        <v>870</v>
      </c>
      <c r="I118" s="81" t="s">
        <v>44</v>
      </c>
      <c r="J118" s="81" t="s">
        <v>96</v>
      </c>
    </row>
    <row r="119" spans="2:23">
      <c r="B119" s="76" t="s">
        <v>86</v>
      </c>
      <c r="C119" s="79" t="s">
        <v>105</v>
      </c>
      <c r="D119" s="81" t="s">
        <v>63</v>
      </c>
      <c r="E119" s="28"/>
      <c r="F119" s="27"/>
      <c r="G119" s="27"/>
      <c r="H119" s="78" t="s">
        <v>41</v>
      </c>
      <c r="I119" s="65">
        <v>35492</v>
      </c>
      <c r="J119" s="75" t="s">
        <v>46</v>
      </c>
    </row>
    <row r="120" spans="2:23">
      <c r="B120" s="81" t="s">
        <v>38</v>
      </c>
      <c r="C120" s="65">
        <v>20104</v>
      </c>
      <c r="D120" s="75" t="s">
        <v>38</v>
      </c>
      <c r="E120" s="29"/>
      <c r="H120" s="66">
        <v>32311</v>
      </c>
      <c r="I120" s="69">
        <v>44059</v>
      </c>
      <c r="J120" s="83" t="s">
        <v>63</v>
      </c>
    </row>
    <row r="121" spans="2:23">
      <c r="B121" s="76">
        <v>720</v>
      </c>
      <c r="C121" s="76" t="s">
        <v>44</v>
      </c>
      <c r="D121" s="78" t="s">
        <v>44</v>
      </c>
      <c r="E121" s="30"/>
      <c r="H121" s="67">
        <v>44075</v>
      </c>
      <c r="I121" s="81" t="s">
        <v>44</v>
      </c>
      <c r="J121" s="69">
        <v>19251</v>
      </c>
    </row>
    <row r="123" spans="2:23">
      <c r="N123" s="21"/>
    </row>
    <row r="124" spans="2:23">
      <c r="N124" s="21"/>
      <c r="O124" s="21"/>
      <c r="U124" s="21"/>
      <c r="V124" s="21"/>
      <c r="W124" s="21"/>
    </row>
    <row r="125" spans="2:23">
      <c r="N125" s="20"/>
      <c r="O125" s="20"/>
      <c r="U125" s="20"/>
      <c r="V125" s="20"/>
      <c r="W125" s="20"/>
    </row>
    <row r="126" spans="2:23">
      <c r="N126" s="31"/>
      <c r="O126" s="31"/>
      <c r="U126" s="31"/>
      <c r="V126" s="31"/>
      <c r="W126" s="31"/>
    </row>
    <row r="127" spans="2:23">
      <c r="G127" s="5"/>
      <c r="N127" s="32"/>
      <c r="O127" s="32"/>
      <c r="U127" s="32"/>
      <c r="V127" s="32"/>
      <c r="W127" s="32"/>
    </row>
    <row r="128" spans="2:23">
      <c r="J128" s="22"/>
      <c r="N128" s="33"/>
      <c r="O128" s="33"/>
      <c r="U128" s="33"/>
      <c r="V128" s="33"/>
      <c r="W128" s="33"/>
    </row>
    <row r="129" spans="7:23">
      <c r="H129" s="22"/>
      <c r="N129" s="32"/>
      <c r="O129" s="32"/>
      <c r="U129" s="32"/>
      <c r="V129" s="32"/>
      <c r="W129" s="32"/>
    </row>
    <row r="130" spans="7:23">
      <c r="G130" s="22"/>
      <c r="N130" s="34"/>
      <c r="O130" s="34"/>
      <c r="U130" s="34"/>
      <c r="V130" s="34"/>
      <c r="W130" s="34"/>
    </row>
    <row r="131" spans="7:23">
      <c r="H131" s="22"/>
      <c r="J131" s="22"/>
      <c r="N131" s="32"/>
      <c r="O131" s="32"/>
      <c r="U131" s="32"/>
      <c r="V131" s="32"/>
      <c r="W131" s="32"/>
    </row>
    <row r="132" spans="7:23">
      <c r="H132" s="22"/>
      <c r="N132" s="34"/>
      <c r="O132" s="34"/>
      <c r="U132" s="34"/>
      <c r="V132" s="34"/>
      <c r="W132" s="34"/>
    </row>
    <row r="133" spans="7:23">
      <c r="H133" s="22"/>
      <c r="N133" s="34"/>
      <c r="O133" s="34"/>
      <c r="U133" s="34"/>
      <c r="V133" s="34"/>
      <c r="W133" s="34"/>
    </row>
    <row r="134" spans="7:23">
      <c r="N134" s="35"/>
      <c r="O134" s="35"/>
      <c r="U134" s="35"/>
      <c r="V134" s="35"/>
      <c r="W134" s="35"/>
    </row>
    <row r="135" spans="7:23">
      <c r="H135" s="22"/>
      <c r="N135" s="20"/>
      <c r="O135" s="20"/>
      <c r="U135" s="20"/>
      <c r="V135" s="20"/>
      <c r="W135" s="20"/>
    </row>
    <row r="136" spans="7:23">
      <c r="N136" s="36"/>
      <c r="O136" s="36"/>
      <c r="U136" s="36"/>
      <c r="V136" s="36"/>
      <c r="W136" s="36"/>
    </row>
    <row r="137" spans="7:23">
      <c r="I137" s="5"/>
      <c r="N137" s="36"/>
      <c r="O137" s="36"/>
      <c r="U137" s="36"/>
      <c r="V137" s="36"/>
      <c r="W137" s="36"/>
    </row>
    <row r="138" spans="7:23">
      <c r="N138" s="36"/>
      <c r="O138" s="36"/>
      <c r="U138" s="36"/>
      <c r="V138" s="36"/>
      <c r="W138" s="36"/>
    </row>
    <row r="139" spans="7:23">
      <c r="G139" s="22"/>
      <c r="H139" s="22"/>
      <c r="J139" s="22"/>
      <c r="N139" s="36"/>
      <c r="O139" s="36"/>
      <c r="U139" s="36"/>
      <c r="V139" s="36"/>
      <c r="W139" s="36"/>
    </row>
    <row r="140" spans="7:23">
      <c r="N140" s="36"/>
      <c r="O140" s="36"/>
      <c r="U140" s="36"/>
      <c r="V140" s="36"/>
      <c r="W140" s="36"/>
    </row>
    <row r="141" spans="7:23">
      <c r="N141" s="36"/>
      <c r="O141" s="36"/>
      <c r="U141" s="36"/>
      <c r="V141" s="36"/>
      <c r="W141" s="36"/>
    </row>
    <row r="142" spans="7:23">
      <c r="N142" s="36"/>
      <c r="O142" s="36"/>
      <c r="U142" s="36"/>
      <c r="V142" s="36"/>
      <c r="W142" s="36"/>
    </row>
    <row r="143" spans="7:23">
      <c r="N143" s="36"/>
      <c r="O143" s="36"/>
      <c r="U143" s="36"/>
      <c r="V143" s="36"/>
      <c r="W143" s="36"/>
    </row>
    <row r="144" spans="7:23">
      <c r="N144" s="36"/>
      <c r="O144" s="36"/>
      <c r="U144" s="36"/>
      <c r="V144" s="36"/>
      <c r="W144" s="36"/>
    </row>
    <row r="145" spans="14:23">
      <c r="N145" s="36"/>
      <c r="O145" s="36"/>
      <c r="U145" s="36"/>
      <c r="V145" s="36"/>
      <c r="W145" s="36"/>
    </row>
    <row r="146" spans="14:23">
      <c r="N146" s="36"/>
      <c r="O146" s="36"/>
      <c r="U146" s="36"/>
      <c r="V146" s="36"/>
      <c r="W146" s="36"/>
    </row>
    <row r="147" spans="14:23">
      <c r="N147" s="36"/>
      <c r="O147" s="36"/>
      <c r="U147" s="36"/>
      <c r="V147" s="36"/>
      <c r="W147" s="36"/>
    </row>
    <row r="148" spans="14:23">
      <c r="N148" s="36"/>
      <c r="O148" s="36"/>
      <c r="U148" s="36"/>
      <c r="V148" s="36"/>
      <c r="W148" s="36"/>
    </row>
    <row r="149" spans="14:23">
      <c r="N149" s="36"/>
      <c r="O149" s="36"/>
      <c r="U149" s="36"/>
      <c r="V149" s="36"/>
      <c r="W149" s="36"/>
    </row>
    <row r="150" spans="14:23">
      <c r="N150" s="36"/>
      <c r="O150" s="36"/>
      <c r="U150" s="36"/>
      <c r="V150" s="36"/>
      <c r="W150" s="36"/>
    </row>
    <row r="151" spans="14:23">
      <c r="N151" s="36"/>
      <c r="O151" s="36"/>
      <c r="U151" s="36"/>
      <c r="V151" s="36"/>
      <c r="W151" s="36"/>
    </row>
    <row r="152" spans="14:23">
      <c r="N152" s="36"/>
      <c r="O152" s="36"/>
      <c r="U152" s="36"/>
      <c r="V152" s="36"/>
      <c r="W152" s="36"/>
    </row>
    <row r="153" spans="14:23">
      <c r="N153" s="36"/>
      <c r="O153" s="36"/>
      <c r="U153" s="36"/>
      <c r="V153" s="36"/>
      <c r="W153" s="36"/>
    </row>
    <row r="154" spans="14:23">
      <c r="N154" s="36"/>
      <c r="O154" s="36"/>
      <c r="U154" s="36"/>
      <c r="V154" s="36"/>
      <c r="W154" s="36"/>
    </row>
    <row r="155" spans="14:23">
      <c r="N155" s="36"/>
      <c r="O155" s="36"/>
      <c r="U155" s="36"/>
      <c r="V155" s="36"/>
      <c r="W155" s="36"/>
    </row>
    <row r="156" spans="14:23">
      <c r="N156" s="36"/>
      <c r="O156" s="36"/>
      <c r="U156" s="36"/>
      <c r="V156" s="36"/>
      <c r="W156" s="36"/>
    </row>
    <row r="157" spans="14:23">
      <c r="N157" s="36"/>
      <c r="O157" s="36"/>
      <c r="U157" s="36"/>
      <c r="V157" s="36"/>
      <c r="W157" s="36"/>
    </row>
    <row r="158" spans="14:23">
      <c r="N158" s="36"/>
      <c r="O158" s="36"/>
      <c r="U158" s="36"/>
      <c r="V158" s="36"/>
      <c r="W158" s="36"/>
    </row>
    <row r="159" spans="14:23">
      <c r="N159" s="36"/>
      <c r="O159" s="36"/>
      <c r="U159" s="36"/>
      <c r="V159" s="36"/>
      <c r="W159" s="36"/>
    </row>
    <row r="160" spans="14:23">
      <c r="N160" s="36"/>
      <c r="O160" s="36"/>
      <c r="U160" s="36"/>
      <c r="V160" s="36"/>
      <c r="W160" s="36"/>
    </row>
    <row r="161" spans="14:23">
      <c r="N161" s="36"/>
      <c r="O161" s="36"/>
      <c r="U161" s="36"/>
      <c r="V161" s="36"/>
      <c r="W161" s="36"/>
    </row>
    <row r="162" spans="14:23">
      <c r="N162" s="36"/>
      <c r="O162" s="36"/>
      <c r="U162" s="36"/>
      <c r="V162" s="36"/>
      <c r="W162" s="36"/>
    </row>
    <row r="163" spans="14:23">
      <c r="N163" s="36"/>
      <c r="O163" s="36"/>
      <c r="U163" s="36"/>
      <c r="V163" s="36"/>
      <c r="W163" s="36"/>
    </row>
    <row r="164" spans="14:23">
      <c r="N164" s="36"/>
      <c r="O164" s="36"/>
      <c r="U164" s="36"/>
      <c r="V164" s="36"/>
      <c r="W164" s="36"/>
    </row>
    <row r="165" spans="14:23">
      <c r="N165" s="36"/>
      <c r="O165" s="36"/>
      <c r="U165" s="36"/>
      <c r="V165" s="36"/>
      <c r="W165" s="36"/>
    </row>
    <row r="166" spans="14:23">
      <c r="N166" s="36"/>
      <c r="O166" s="36"/>
      <c r="U166" s="36"/>
      <c r="V166" s="36"/>
      <c r="W166" s="36"/>
    </row>
    <row r="167" spans="14:23">
      <c r="N167" s="36"/>
      <c r="O167" s="36"/>
      <c r="U167" s="36"/>
      <c r="V167" s="36"/>
      <c r="W167" s="36"/>
    </row>
    <row r="168" spans="14:23">
      <c r="N168" s="36"/>
      <c r="O168" s="36"/>
      <c r="U168" s="36"/>
      <c r="V168" s="36"/>
      <c r="W168" s="36"/>
    </row>
    <row r="169" spans="14:23">
      <c r="N169" s="36"/>
      <c r="O169" s="36"/>
      <c r="U169" s="36"/>
      <c r="V169" s="36"/>
      <c r="W169" s="36"/>
    </row>
    <row r="170" spans="14:23">
      <c r="N170" s="36"/>
      <c r="O170" s="36"/>
      <c r="U170" s="36"/>
      <c r="V170" s="36"/>
      <c r="W170" s="36"/>
    </row>
    <row r="171" spans="14:23">
      <c r="N171" s="36"/>
      <c r="O171" s="36"/>
      <c r="U171" s="36"/>
      <c r="V171" s="36"/>
      <c r="W171" s="36"/>
    </row>
    <row r="172" spans="14:23">
      <c r="N172" s="36"/>
      <c r="O172" s="36"/>
      <c r="U172" s="36"/>
      <c r="V172" s="36"/>
      <c r="W172" s="36"/>
    </row>
    <row r="173" spans="14:23">
      <c r="N173" s="36"/>
      <c r="O173" s="36"/>
      <c r="U173" s="36"/>
      <c r="V173" s="36"/>
      <c r="W173" s="36"/>
    </row>
    <row r="174" spans="14:23">
      <c r="N174" s="36"/>
      <c r="O174" s="36"/>
      <c r="U174" s="36"/>
      <c r="V174" s="36"/>
      <c r="W174" s="36"/>
    </row>
    <row r="175" spans="14:23">
      <c r="N175" s="36"/>
      <c r="O175" s="36"/>
      <c r="U175" s="36"/>
      <c r="V175" s="36"/>
      <c r="W175" s="36"/>
    </row>
    <row r="176" spans="14:23">
      <c r="N176" s="36"/>
      <c r="O176" s="36"/>
      <c r="U176" s="36"/>
      <c r="V176" s="36"/>
      <c r="W176" s="36"/>
    </row>
    <row r="177" spans="14:23">
      <c r="N177" s="36"/>
      <c r="O177" s="36"/>
      <c r="U177" s="36"/>
      <c r="V177" s="36"/>
      <c r="W177" s="36"/>
    </row>
    <row r="178" spans="14:23">
      <c r="N178" s="36"/>
      <c r="O178" s="36"/>
      <c r="U178" s="36"/>
      <c r="V178" s="36"/>
      <c r="W178" s="36"/>
    </row>
    <row r="179" spans="14:23">
      <c r="N179" s="36"/>
      <c r="O179" s="36"/>
      <c r="U179" s="36"/>
      <c r="V179" s="36"/>
      <c r="W179" s="36"/>
    </row>
    <row r="180" spans="14:23">
      <c r="N180" s="36"/>
      <c r="O180" s="36"/>
      <c r="U180" s="36"/>
      <c r="V180" s="36"/>
      <c r="W180" s="36"/>
    </row>
    <row r="181" spans="14:23">
      <c r="N181" s="36"/>
      <c r="O181" s="36"/>
      <c r="U181" s="36"/>
      <c r="V181" s="36"/>
      <c r="W181" s="36"/>
    </row>
    <row r="182" spans="14:23">
      <c r="N182" s="36"/>
      <c r="O182" s="36"/>
      <c r="U182" s="36"/>
      <c r="V182" s="36"/>
      <c r="W182" s="36"/>
    </row>
    <row r="183" spans="14:23">
      <c r="N183" s="36"/>
      <c r="O183" s="36"/>
      <c r="U183" s="36"/>
      <c r="V183" s="36"/>
      <c r="W183" s="36"/>
    </row>
    <row r="184" spans="14:23">
      <c r="N184" s="36"/>
      <c r="O184" s="36"/>
      <c r="U184" s="36"/>
      <c r="V184" s="36"/>
      <c r="W184" s="36"/>
    </row>
    <row r="185" spans="14:23">
      <c r="N185" s="36"/>
      <c r="O185" s="36"/>
      <c r="U185" s="36"/>
      <c r="V185" s="36"/>
      <c r="W185" s="36"/>
    </row>
    <row r="186" spans="14:23">
      <c r="N186" s="36"/>
      <c r="O186" s="36"/>
      <c r="U186" s="36"/>
      <c r="V186" s="36"/>
      <c r="W186" s="36"/>
    </row>
    <row r="187" spans="14:23">
      <c r="N187" s="36"/>
      <c r="O187" s="36"/>
      <c r="U187" s="36"/>
      <c r="V187" s="36"/>
      <c r="W187" s="36"/>
    </row>
    <row r="188" spans="14:23">
      <c r="N188" s="36"/>
      <c r="O188" s="36"/>
      <c r="U188" s="36"/>
      <c r="V188" s="36"/>
      <c r="W188" s="36"/>
    </row>
    <row r="189" spans="14:23">
      <c r="N189" s="36"/>
      <c r="O189" s="36"/>
      <c r="U189" s="36"/>
      <c r="V189" s="36"/>
      <c r="W189" s="36"/>
    </row>
    <row r="190" spans="14:23">
      <c r="N190" s="36"/>
      <c r="O190" s="36"/>
      <c r="U190" s="36"/>
      <c r="V190" s="36"/>
      <c r="W190" s="36"/>
    </row>
    <row r="191" spans="14:23">
      <c r="N191" s="36"/>
      <c r="O191" s="36"/>
      <c r="U191" s="36"/>
      <c r="V191" s="36"/>
      <c r="W191" s="36"/>
    </row>
    <row r="192" spans="14:23">
      <c r="N192" s="36"/>
      <c r="O192" s="36"/>
      <c r="U192" s="36"/>
      <c r="V192" s="36"/>
      <c r="W192" s="36"/>
    </row>
    <row r="193" spans="14:23">
      <c r="N193" s="36"/>
      <c r="O193" s="36"/>
      <c r="U193" s="36"/>
      <c r="V193" s="36"/>
      <c r="W193" s="36"/>
    </row>
    <row r="194" spans="14:23">
      <c r="N194" s="36"/>
      <c r="O194" s="36"/>
      <c r="U194" s="36"/>
      <c r="V194" s="36"/>
      <c r="W194" s="36"/>
    </row>
    <row r="195" spans="14:23">
      <c r="N195" s="36"/>
      <c r="O195" s="36"/>
      <c r="U195" s="36"/>
      <c r="V195" s="36"/>
      <c r="W195" s="36"/>
    </row>
    <row r="196" spans="14:23">
      <c r="N196" s="36"/>
      <c r="O196" s="36"/>
      <c r="U196" s="36"/>
      <c r="V196" s="36"/>
      <c r="W196" s="36"/>
    </row>
    <row r="197" spans="14:23">
      <c r="N197" s="36"/>
      <c r="O197" s="36"/>
      <c r="U197" s="36"/>
      <c r="V197" s="36"/>
      <c r="W197" s="36"/>
    </row>
    <row r="198" spans="14:23">
      <c r="N198" s="36"/>
      <c r="O198" s="36"/>
      <c r="U198" s="36"/>
      <c r="V198" s="36"/>
      <c r="W198" s="36"/>
    </row>
    <row r="199" spans="14:23">
      <c r="N199" s="36"/>
      <c r="O199" s="36"/>
      <c r="U199" s="36"/>
      <c r="V199" s="36"/>
      <c r="W199" s="36"/>
    </row>
    <row r="200" spans="14:23">
      <c r="N200" s="36"/>
      <c r="O200" s="36"/>
      <c r="U200" s="36"/>
      <c r="V200" s="36"/>
      <c r="W200" s="36"/>
    </row>
    <row r="201" spans="14:23">
      <c r="N201" s="36"/>
      <c r="O201" s="36"/>
      <c r="U201" s="36"/>
      <c r="V201" s="36"/>
      <c r="W201" s="36"/>
    </row>
    <row r="202" spans="14:23">
      <c r="N202" s="36"/>
      <c r="O202" s="36"/>
      <c r="U202" s="36"/>
      <c r="V202" s="36"/>
      <c r="W202" s="36"/>
    </row>
    <row r="203" spans="14:23">
      <c r="N203" s="36"/>
      <c r="O203" s="36"/>
      <c r="U203" s="36"/>
      <c r="V203" s="36"/>
      <c r="W203" s="36"/>
    </row>
    <row r="204" spans="14:23">
      <c r="N204" s="36"/>
      <c r="O204" s="36"/>
      <c r="U204" s="36"/>
      <c r="V204" s="36"/>
      <c r="W204" s="36"/>
    </row>
    <row r="205" spans="14:23">
      <c r="N205" s="36"/>
      <c r="O205" s="36"/>
      <c r="U205" s="36"/>
      <c r="V205" s="36"/>
      <c r="W205" s="36"/>
    </row>
    <row r="206" spans="14:23">
      <c r="N206" s="36"/>
      <c r="O206" s="36"/>
      <c r="U206" s="36"/>
      <c r="V206" s="36"/>
      <c r="W206" s="36"/>
    </row>
    <row r="207" spans="14:23">
      <c r="N207" s="36"/>
      <c r="O207" s="36"/>
      <c r="U207" s="36"/>
      <c r="V207" s="36"/>
      <c r="W207" s="36"/>
    </row>
    <row r="208" spans="14:23">
      <c r="N208" s="36"/>
      <c r="O208" s="36"/>
      <c r="U208" s="36"/>
      <c r="V208" s="36"/>
      <c r="W208" s="36"/>
    </row>
    <row r="209" spans="14:23">
      <c r="N209" s="36"/>
      <c r="O209" s="36"/>
      <c r="U209" s="36"/>
      <c r="V209" s="36"/>
      <c r="W209" s="36"/>
    </row>
    <row r="210" spans="14:23">
      <c r="N210" s="36"/>
      <c r="O210" s="36"/>
      <c r="U210" s="36"/>
      <c r="V210" s="36"/>
      <c r="W210" s="36"/>
    </row>
    <row r="211" spans="14:23">
      <c r="N211" s="36"/>
      <c r="O211" s="36"/>
      <c r="U211" s="36"/>
      <c r="V211" s="36"/>
      <c r="W211" s="36"/>
    </row>
    <row r="212" spans="14:23">
      <c r="N212" s="36"/>
      <c r="O212" s="36"/>
      <c r="U212" s="36"/>
      <c r="V212" s="36"/>
      <c r="W212" s="36"/>
    </row>
    <row r="213" spans="14:23">
      <c r="N213" s="36"/>
      <c r="O213" s="36"/>
      <c r="U213" s="36"/>
      <c r="V213" s="36"/>
      <c r="W213" s="36"/>
    </row>
    <row r="214" spans="14:23">
      <c r="N214" s="36"/>
      <c r="O214" s="36"/>
      <c r="U214" s="36"/>
      <c r="V214" s="36"/>
      <c r="W214" s="36"/>
    </row>
    <row r="215" spans="14:23">
      <c r="N215" s="36"/>
      <c r="O215" s="36"/>
      <c r="U215" s="36"/>
      <c r="V215" s="36"/>
      <c r="W215" s="36"/>
    </row>
    <row r="216" spans="14:23">
      <c r="N216" s="36"/>
      <c r="O216" s="36"/>
      <c r="U216" s="36"/>
      <c r="V216" s="36"/>
      <c r="W216" s="36"/>
    </row>
    <row r="217" spans="14:23">
      <c r="N217" s="36"/>
      <c r="O217" s="36"/>
      <c r="U217" s="36"/>
      <c r="V217" s="36"/>
      <c r="W217" s="36"/>
    </row>
    <row r="218" spans="14:23">
      <c r="N218" s="36"/>
      <c r="O218" s="36"/>
      <c r="U218" s="36"/>
      <c r="V218" s="36"/>
      <c r="W218" s="36"/>
    </row>
    <row r="219" spans="14:23">
      <c r="N219" s="36"/>
      <c r="O219" s="36"/>
      <c r="U219" s="36"/>
      <c r="V219" s="36"/>
      <c r="W219" s="36"/>
    </row>
    <row r="220" spans="14:23">
      <c r="N220" s="36"/>
      <c r="O220" s="36"/>
      <c r="U220" s="36"/>
      <c r="V220" s="36"/>
      <c r="W220" s="36"/>
    </row>
    <row r="221" spans="14:23">
      <c r="N221" s="36"/>
      <c r="O221" s="36"/>
      <c r="U221" s="36"/>
      <c r="V221" s="36"/>
      <c r="W221" s="36"/>
    </row>
    <row r="222" spans="14:23">
      <c r="N222" s="36"/>
      <c r="O222" s="36"/>
      <c r="U222" s="36"/>
      <c r="V222" s="36"/>
      <c r="W222" s="36"/>
    </row>
    <row r="223" spans="14:23">
      <c r="N223" s="36"/>
      <c r="O223" s="36"/>
      <c r="U223" s="36"/>
      <c r="V223" s="36"/>
      <c r="W223" s="36"/>
    </row>
    <row r="224" spans="14:23">
      <c r="N224" s="36"/>
      <c r="O224" s="36"/>
      <c r="U224" s="36"/>
      <c r="V224" s="36"/>
      <c r="W224" s="36"/>
    </row>
    <row r="225" spans="14:23">
      <c r="N225" s="36"/>
      <c r="O225" s="36"/>
      <c r="U225" s="36"/>
      <c r="V225" s="36"/>
      <c r="W225" s="36"/>
    </row>
    <row r="226" spans="14:23">
      <c r="N226" s="36"/>
      <c r="O226" s="36"/>
      <c r="U226" s="36"/>
      <c r="V226" s="36"/>
      <c r="W226" s="36"/>
    </row>
    <row r="227" spans="14:23">
      <c r="N227" s="36"/>
      <c r="O227" s="36"/>
      <c r="U227" s="36"/>
      <c r="V227" s="36"/>
      <c r="W227" s="36"/>
    </row>
    <row r="228" spans="14:23">
      <c r="N228" s="36"/>
      <c r="O228" s="36"/>
      <c r="U228" s="36"/>
      <c r="V228" s="36"/>
      <c r="W228" s="36"/>
    </row>
    <row r="229" spans="14:23">
      <c r="N229" s="36"/>
      <c r="O229" s="36"/>
      <c r="U229" s="36"/>
      <c r="V229" s="36"/>
      <c r="W229" s="36"/>
    </row>
    <row r="230" spans="14:23">
      <c r="N230" s="36"/>
      <c r="O230" s="36"/>
      <c r="U230" s="36"/>
      <c r="V230" s="36"/>
      <c r="W230" s="36"/>
    </row>
    <row r="231" spans="14:23">
      <c r="N231" s="36"/>
      <c r="O231" s="36"/>
      <c r="U231" s="36"/>
      <c r="V231" s="36"/>
      <c r="W231" s="36"/>
    </row>
    <row r="232" spans="14:23">
      <c r="N232" s="36"/>
      <c r="O232" s="36"/>
      <c r="U232" s="36"/>
      <c r="V232" s="36"/>
      <c r="W232" s="36"/>
    </row>
    <row r="233" spans="14:23">
      <c r="N233" s="36"/>
      <c r="O233" s="36"/>
      <c r="U233" s="36"/>
      <c r="V233" s="36"/>
      <c r="W233" s="36"/>
    </row>
    <row r="234" spans="14:23">
      <c r="N234" s="36"/>
      <c r="O234" s="36"/>
      <c r="U234" s="36"/>
      <c r="V234" s="36"/>
      <c r="W234" s="36"/>
    </row>
    <row r="235" spans="14:23">
      <c r="N235" s="36"/>
      <c r="O235" s="36"/>
      <c r="U235" s="36"/>
      <c r="V235" s="36"/>
      <c r="W235" s="36"/>
    </row>
    <row r="236" spans="14:23">
      <c r="N236" s="36"/>
      <c r="O236" s="36"/>
      <c r="U236" s="36"/>
      <c r="V236" s="36"/>
      <c r="W236" s="36"/>
    </row>
    <row r="237" spans="14:23">
      <c r="N237" s="36"/>
      <c r="O237" s="36"/>
      <c r="U237" s="36"/>
      <c r="V237" s="36"/>
      <c r="W237" s="36"/>
    </row>
    <row r="238" spans="14:23">
      <c r="N238" s="36"/>
      <c r="O238" s="36"/>
      <c r="U238" s="36"/>
      <c r="V238" s="36"/>
      <c r="W238" s="36"/>
    </row>
    <row r="239" spans="14:23">
      <c r="N239" s="36"/>
      <c r="O239" s="36"/>
      <c r="U239" s="36"/>
      <c r="V239" s="36"/>
      <c r="W239" s="36"/>
    </row>
    <row r="240" spans="14:23">
      <c r="N240" s="36"/>
      <c r="O240" s="36"/>
      <c r="U240" s="36"/>
      <c r="V240" s="36"/>
      <c r="W240" s="36"/>
    </row>
  </sheetData>
  <mergeCells count="3">
    <mergeCell ref="B16:D16"/>
    <mergeCell ref="H16:J16"/>
    <mergeCell ref="C1:I12"/>
  </mergeCells>
  <dataValidations count="1">
    <dataValidation type="decimal" operator="equal" allowBlank="1" showInputMessage="1" showErrorMessage="1" sqref="A1" xr:uid="{7C9BDDBE-7D47-48C0-9261-5F2491922C71}">
      <formula1>8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9.andmed">
                <anchor moveWithCells="1" sizeWithCells="1">
                  <from>
                    <xdr:col>11</xdr:col>
                    <xdr:colOff>182880</xdr:colOff>
                    <xdr:row>0</xdr:row>
                    <xdr:rowOff>114300</xdr:rowOff>
                  </from>
                  <to>
                    <xdr:col>13</xdr:col>
                    <xdr:colOff>868680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heet9.muuda">
                <anchor moveWithCells="1" sizeWithCells="1">
                  <from>
                    <xdr:col>11</xdr:col>
                    <xdr:colOff>144780</xdr:colOff>
                    <xdr:row>3</xdr:row>
                    <xdr:rowOff>99060</xdr:rowOff>
                  </from>
                  <to>
                    <xdr:col>13</xdr:col>
                    <xdr:colOff>838200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ladinasuurtaht">
                <anchor moveWithCells="1" sizeWithCells="1">
                  <from>
                    <xdr:col>11</xdr:col>
                    <xdr:colOff>182880</xdr:colOff>
                    <xdr:row>10</xdr:row>
                    <xdr:rowOff>7620</xdr:rowOff>
                  </from>
                  <to>
                    <xdr:col>13</xdr:col>
                    <xdr:colOff>830580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ammusroheline">
                <anchor moveWithCells="1" sizeWithCells="1">
                  <from>
                    <xdr:col>11</xdr:col>
                    <xdr:colOff>152400</xdr:colOff>
                    <xdr:row>6</xdr:row>
                    <xdr:rowOff>83820</xdr:rowOff>
                  </from>
                  <to>
                    <xdr:col>13</xdr:col>
                    <xdr:colOff>807720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DE9F-C51C-4E1E-8C97-99E7BD52C94C}">
  <sheetPr codeName="Sheet5"/>
  <dimension ref="A1:P100"/>
  <sheetViews>
    <sheetView tabSelected="1" workbookViewId="0">
      <selection activeCell="L13" sqref="L13"/>
    </sheetView>
  </sheetViews>
  <sheetFormatPr defaultRowHeight="14.4"/>
  <cols>
    <col min="1" max="1" width="11.77734375" customWidth="1"/>
    <col min="4" max="4" width="11.44140625" customWidth="1"/>
    <col min="6" max="6" width="10.109375" bestFit="1" customWidth="1"/>
    <col min="9" max="9" width="16.6640625" style="51" bestFit="1" customWidth="1"/>
    <col min="10" max="10" width="10.5546875" bestFit="1" customWidth="1"/>
    <col min="12" max="12" width="16.6640625" bestFit="1" customWidth="1"/>
    <col min="13" max="13" width="10.5546875" bestFit="1" customWidth="1"/>
  </cols>
  <sheetData>
    <row r="1" spans="1:15" ht="14.4" customHeight="1">
      <c r="C1" s="100" t="s">
        <v>461</v>
      </c>
      <c r="D1" s="101"/>
      <c r="E1" s="101"/>
      <c r="F1" s="101"/>
      <c r="G1" s="101"/>
      <c r="H1" s="101"/>
      <c r="I1" s="101"/>
      <c r="J1" s="101"/>
      <c r="K1" s="102"/>
    </row>
    <row r="2" spans="1:15" ht="14.4" customHeight="1">
      <c r="A2" s="70" t="s">
        <v>460</v>
      </c>
      <c r="C2" s="103"/>
      <c r="D2" s="104"/>
      <c r="E2" s="104"/>
      <c r="F2" s="104"/>
      <c r="G2" s="104"/>
      <c r="H2" s="104"/>
      <c r="I2" s="104"/>
      <c r="J2" s="104"/>
      <c r="K2" s="105"/>
    </row>
    <row r="3" spans="1:15" ht="30.6" customHeight="1">
      <c r="A3" s="73" t="s">
        <v>462</v>
      </c>
      <c r="C3" s="103"/>
      <c r="D3" s="104"/>
      <c r="E3" s="104"/>
      <c r="F3" s="104"/>
      <c r="G3" s="104"/>
      <c r="H3" s="104"/>
      <c r="I3" s="104"/>
      <c r="J3" s="104"/>
      <c r="K3" s="105"/>
      <c r="O3" s="2"/>
    </row>
    <row r="4" spans="1:15" ht="14.4" customHeight="1">
      <c r="C4" s="103"/>
      <c r="D4" s="104"/>
      <c r="E4" s="104"/>
      <c r="F4" s="104"/>
      <c r="G4" s="104"/>
      <c r="H4" s="104"/>
      <c r="I4" s="104"/>
      <c r="J4" s="104"/>
      <c r="K4" s="105"/>
      <c r="O4" s="4"/>
    </row>
    <row r="5" spans="1:15" ht="14.4" customHeight="1">
      <c r="C5" s="103"/>
      <c r="D5" s="104"/>
      <c r="E5" s="104"/>
      <c r="F5" s="104"/>
      <c r="G5" s="104"/>
      <c r="H5" s="104"/>
      <c r="I5" s="104"/>
      <c r="J5" s="104"/>
      <c r="K5" s="105"/>
      <c r="O5" s="4"/>
    </row>
    <row r="6" spans="1:15" ht="14.4" customHeight="1">
      <c r="C6" s="103"/>
      <c r="D6" s="104"/>
      <c r="E6" s="104"/>
      <c r="F6" s="104"/>
      <c r="G6" s="104"/>
      <c r="H6" s="104"/>
      <c r="I6" s="104"/>
      <c r="J6" s="104"/>
      <c r="K6" s="105"/>
    </row>
    <row r="7" spans="1:15" ht="14.4" customHeight="1">
      <c r="C7" s="103"/>
      <c r="D7" s="104"/>
      <c r="E7" s="104"/>
      <c r="F7" s="104"/>
      <c r="G7" s="104"/>
      <c r="H7" s="104"/>
      <c r="I7" s="104"/>
      <c r="J7" s="104"/>
      <c r="K7" s="105"/>
    </row>
    <row r="8" spans="1:15" ht="15" customHeight="1">
      <c r="C8" s="103"/>
      <c r="D8" s="104"/>
      <c r="E8" s="104"/>
      <c r="F8" s="104"/>
      <c r="G8" s="104"/>
      <c r="H8" s="104"/>
      <c r="I8" s="104"/>
      <c r="J8" s="104"/>
      <c r="K8" s="105"/>
    </row>
    <row r="9" spans="1:15" ht="15" thickBot="1">
      <c r="C9" s="106"/>
      <c r="D9" s="107"/>
      <c r="E9" s="107"/>
      <c r="F9" s="107"/>
      <c r="G9" s="107"/>
      <c r="H9" s="107"/>
      <c r="I9" s="107"/>
      <c r="J9" s="107"/>
      <c r="K9" s="108"/>
    </row>
    <row r="10" spans="1:15">
      <c r="I10"/>
    </row>
    <row r="11" spans="1:15">
      <c r="I11"/>
      <c r="L11" s="99" t="s">
        <v>439</v>
      </c>
      <c r="M11" s="99"/>
    </row>
    <row r="12" spans="1:15">
      <c r="B12" s="48" t="s">
        <v>440</v>
      </c>
      <c r="C12" s="48" t="s">
        <v>441</v>
      </c>
      <c r="D12" s="48" t="s">
        <v>442</v>
      </c>
      <c r="E12" s="48" t="s">
        <v>443</v>
      </c>
      <c r="F12" s="49" t="s">
        <v>111</v>
      </c>
      <c r="G12" s="48" t="s">
        <v>444</v>
      </c>
      <c r="H12" s="48" t="s">
        <v>445</v>
      </c>
      <c r="I12" s="48" t="s">
        <v>446</v>
      </c>
      <c r="J12" s="48" t="s">
        <v>447</v>
      </c>
      <c r="L12" s="48" t="s">
        <v>446</v>
      </c>
      <c r="M12" s="48" t="s">
        <v>447</v>
      </c>
    </row>
    <row r="13" spans="1:15">
      <c r="B13" s="40" t="s">
        <v>337</v>
      </c>
      <c r="C13" s="40" t="s">
        <v>338</v>
      </c>
      <c r="D13" s="40" t="s">
        <v>289</v>
      </c>
      <c r="E13" s="43" t="s">
        <v>127</v>
      </c>
      <c r="F13" s="42">
        <v>26578</v>
      </c>
      <c r="G13" s="44">
        <v>1070</v>
      </c>
      <c r="H13" s="40" t="s">
        <v>38</v>
      </c>
      <c r="I13" s="46" t="s">
        <v>157</v>
      </c>
      <c r="J13" s="43" t="s">
        <v>209</v>
      </c>
      <c r="L13" s="52" t="s">
        <v>157</v>
      </c>
      <c r="M13" s="52" t="s">
        <v>209</v>
      </c>
    </row>
    <row r="14" spans="1:15">
      <c r="B14" s="40" t="s">
        <v>184</v>
      </c>
      <c r="C14" s="40" t="s">
        <v>269</v>
      </c>
      <c r="D14" s="40" t="s">
        <v>234</v>
      </c>
      <c r="E14" s="43" t="s">
        <v>166</v>
      </c>
      <c r="F14" s="42">
        <v>22838</v>
      </c>
      <c r="G14" s="44">
        <v>650</v>
      </c>
      <c r="H14" s="40" t="s">
        <v>44</v>
      </c>
      <c r="I14" s="46" t="s">
        <v>157</v>
      </c>
      <c r="J14" s="43" t="s">
        <v>209</v>
      </c>
    </row>
    <row r="15" spans="1:15">
      <c r="B15" s="40"/>
      <c r="C15" s="40"/>
      <c r="D15" s="40"/>
      <c r="E15" s="43"/>
      <c r="F15" s="42"/>
      <c r="G15" s="44"/>
      <c r="H15" s="40"/>
      <c r="I15" s="46"/>
      <c r="J15" s="43"/>
    </row>
    <row r="16" spans="1:15">
      <c r="B16" s="40"/>
      <c r="C16" s="40"/>
      <c r="D16" s="40"/>
      <c r="E16" s="46"/>
      <c r="F16" s="42"/>
      <c r="G16" s="44"/>
      <c r="H16" s="40"/>
      <c r="I16" s="46"/>
      <c r="J16" s="43"/>
    </row>
    <row r="17" spans="2:16">
      <c r="B17" s="40"/>
      <c r="C17" s="40"/>
      <c r="D17" s="40"/>
      <c r="E17" s="43"/>
      <c r="F17" s="42"/>
      <c r="G17" s="44"/>
      <c r="H17" s="40"/>
      <c r="I17" s="46"/>
      <c r="J17" s="43"/>
    </row>
    <row r="18" spans="2:16">
      <c r="B18" s="40"/>
      <c r="C18" s="40"/>
      <c r="D18" s="40"/>
      <c r="E18" s="43"/>
      <c r="F18" s="42"/>
      <c r="G18" s="44"/>
      <c r="H18" s="40"/>
      <c r="I18" s="46"/>
      <c r="J18" s="43"/>
      <c r="P18" s="47"/>
    </row>
    <row r="19" spans="2:16">
      <c r="B19" s="40"/>
      <c r="C19" s="40"/>
      <c r="D19" s="40"/>
      <c r="E19" s="43"/>
      <c r="G19" s="44"/>
      <c r="H19" s="40"/>
      <c r="I19" s="50"/>
      <c r="J19" s="43"/>
      <c r="P19" s="47"/>
    </row>
    <row r="20" spans="2:16">
      <c r="B20" s="40"/>
      <c r="C20" s="40"/>
      <c r="D20" s="40"/>
      <c r="E20" s="43"/>
      <c r="G20" s="44"/>
      <c r="H20" s="40"/>
      <c r="I20" s="50"/>
      <c r="J20" s="43"/>
      <c r="P20" s="47"/>
    </row>
    <row r="21" spans="2:16">
      <c r="B21" s="40"/>
      <c r="C21" s="40"/>
      <c r="D21" s="40"/>
      <c r="E21" s="43"/>
      <c r="G21" s="44"/>
      <c r="H21" s="40"/>
      <c r="I21" s="50"/>
      <c r="J21" s="43"/>
      <c r="P21" s="47"/>
    </row>
    <row r="22" spans="2:16">
      <c r="B22" s="40"/>
      <c r="C22" s="40"/>
      <c r="D22" s="40"/>
      <c r="E22" s="43"/>
      <c r="G22" s="44"/>
      <c r="H22" s="40"/>
      <c r="I22" s="50"/>
      <c r="J22" s="43"/>
    </row>
    <row r="23" spans="2:16">
      <c r="B23" s="40"/>
      <c r="C23" s="40"/>
      <c r="D23" s="40"/>
      <c r="E23" s="43"/>
      <c r="G23" s="44"/>
      <c r="H23" s="40"/>
      <c r="I23" s="50"/>
      <c r="J23" s="43"/>
    </row>
    <row r="24" spans="2:16">
      <c r="B24" s="40"/>
      <c r="C24" s="40"/>
      <c r="D24" s="40"/>
      <c r="E24" s="43"/>
      <c r="G24" s="44"/>
      <c r="H24" s="40"/>
      <c r="I24" s="50"/>
      <c r="J24" s="43"/>
    </row>
    <row r="25" spans="2:16">
      <c r="B25" s="40"/>
      <c r="C25" s="40"/>
      <c r="D25" s="40"/>
      <c r="E25" s="43"/>
      <c r="G25" s="44"/>
      <c r="H25" s="40"/>
      <c r="I25" s="50"/>
      <c r="J25" s="43"/>
    </row>
    <row r="26" spans="2:16">
      <c r="B26" s="40"/>
      <c r="C26" s="40"/>
      <c r="D26" s="40"/>
      <c r="E26" s="43"/>
      <c r="G26" s="44"/>
      <c r="H26" s="40"/>
      <c r="I26" s="50"/>
      <c r="J26" s="43"/>
    </row>
    <row r="27" spans="2:16">
      <c r="B27" s="40"/>
      <c r="C27" s="40"/>
      <c r="D27" s="40"/>
      <c r="E27" s="46"/>
      <c r="G27" s="44"/>
      <c r="H27" s="40"/>
      <c r="I27" s="50"/>
      <c r="J27" s="43"/>
    </row>
    <row r="28" spans="2:16">
      <c r="B28" s="40"/>
      <c r="C28" s="40"/>
      <c r="D28" s="40"/>
      <c r="E28" s="43"/>
      <c r="G28" s="44"/>
      <c r="H28" s="40"/>
      <c r="I28" s="50"/>
      <c r="J28" s="43"/>
    </row>
    <row r="29" spans="2:16">
      <c r="B29" s="40"/>
      <c r="C29" s="40"/>
      <c r="D29" s="40"/>
      <c r="E29" s="43"/>
      <c r="G29" s="44"/>
      <c r="H29" s="40"/>
      <c r="I29" s="50"/>
      <c r="J29" s="43"/>
    </row>
    <row r="30" spans="2:16">
      <c r="B30" s="40"/>
      <c r="C30" s="40"/>
      <c r="D30" s="40"/>
      <c r="E30" s="43"/>
      <c r="G30" s="44"/>
      <c r="H30" s="40"/>
      <c r="I30" s="50"/>
      <c r="J30" s="43"/>
    </row>
    <row r="31" spans="2:16">
      <c r="B31" s="40"/>
      <c r="C31" s="40"/>
      <c r="D31" s="40"/>
      <c r="E31" s="43"/>
      <c r="G31" s="44"/>
      <c r="H31" s="40"/>
      <c r="I31" s="50"/>
      <c r="J31" s="43"/>
    </row>
    <row r="32" spans="2:16">
      <c r="B32" s="40"/>
      <c r="C32" s="40"/>
      <c r="D32" s="40"/>
      <c r="E32" s="43"/>
      <c r="G32" s="44"/>
      <c r="H32" s="40"/>
      <c r="I32" s="50"/>
      <c r="J32" s="43"/>
    </row>
    <row r="33" spans="2:10">
      <c r="B33" s="40"/>
      <c r="C33" s="40"/>
      <c r="D33" s="40"/>
      <c r="E33" s="43"/>
      <c r="G33" s="44"/>
      <c r="H33" s="40"/>
      <c r="I33" s="50"/>
      <c r="J33" s="43"/>
    </row>
    <row r="34" spans="2:10">
      <c r="B34" s="40"/>
      <c r="C34" s="40"/>
      <c r="D34" s="40"/>
      <c r="E34" s="43"/>
      <c r="G34" s="44"/>
      <c r="H34" s="40"/>
      <c r="I34" s="50"/>
      <c r="J34" s="43"/>
    </row>
    <row r="35" spans="2:10">
      <c r="B35" s="40"/>
      <c r="C35" s="40"/>
      <c r="D35" s="40"/>
      <c r="E35" s="46"/>
      <c r="G35" s="44"/>
      <c r="H35" s="40"/>
      <c r="I35" s="50"/>
      <c r="J35" s="43"/>
    </row>
    <row r="36" spans="2:10">
      <c r="B36" s="40"/>
      <c r="C36" s="40"/>
      <c r="D36" s="40"/>
      <c r="E36" s="43"/>
      <c r="G36" s="44"/>
      <c r="H36" s="40"/>
      <c r="I36" s="50"/>
      <c r="J36" s="43"/>
    </row>
    <row r="37" spans="2:10">
      <c r="B37" s="40"/>
      <c r="C37" s="40"/>
      <c r="D37" s="40"/>
      <c r="E37" s="43"/>
      <c r="G37" s="44"/>
      <c r="H37" s="40"/>
      <c r="I37" s="50"/>
      <c r="J37" s="43"/>
    </row>
    <row r="38" spans="2:10">
      <c r="B38" s="40"/>
      <c r="C38" s="40"/>
      <c r="D38" s="40"/>
      <c r="E38" s="43"/>
      <c r="G38" s="44"/>
      <c r="H38" s="40"/>
      <c r="I38" s="50"/>
      <c r="J38" s="43"/>
    </row>
    <row r="39" spans="2:10">
      <c r="B39" s="40"/>
      <c r="C39" s="40"/>
      <c r="D39" s="40"/>
      <c r="E39" s="43"/>
      <c r="G39" s="44"/>
      <c r="H39" s="40"/>
      <c r="I39" s="50"/>
      <c r="J39" s="43"/>
    </row>
    <row r="40" spans="2:10">
      <c r="B40" s="40"/>
      <c r="C40" s="40"/>
      <c r="D40" s="40"/>
      <c r="E40" s="43"/>
      <c r="G40" s="44"/>
      <c r="H40" s="40"/>
      <c r="I40" s="50"/>
      <c r="J40" s="43"/>
    </row>
    <row r="41" spans="2:10">
      <c r="B41" s="40"/>
      <c r="C41" s="40"/>
      <c r="D41" s="40"/>
      <c r="E41" s="43"/>
      <c r="G41" s="44"/>
      <c r="H41" s="40"/>
      <c r="I41" s="50"/>
      <c r="J41" s="43"/>
    </row>
    <row r="42" spans="2:10">
      <c r="B42" s="40"/>
      <c r="C42" s="40"/>
      <c r="D42" s="40"/>
      <c r="E42" s="43"/>
      <c r="G42" s="44"/>
      <c r="H42" s="40"/>
      <c r="I42" s="50"/>
      <c r="J42" s="43"/>
    </row>
    <row r="43" spans="2:10">
      <c r="B43" s="40"/>
      <c r="C43" s="40"/>
      <c r="D43" s="40"/>
      <c r="E43" s="43"/>
      <c r="G43" s="44"/>
      <c r="H43" s="40"/>
      <c r="I43" s="50"/>
      <c r="J43" s="43"/>
    </row>
    <row r="44" spans="2:10">
      <c r="B44" s="40"/>
      <c r="C44" s="40"/>
      <c r="D44" s="40"/>
      <c r="E44" s="43"/>
      <c r="G44" s="44"/>
      <c r="H44" s="40"/>
      <c r="I44" s="50"/>
      <c r="J44" s="43"/>
    </row>
    <row r="45" spans="2:10">
      <c r="B45" s="40"/>
      <c r="C45" s="40"/>
      <c r="D45" s="40"/>
      <c r="E45" s="43"/>
      <c r="G45" s="44"/>
      <c r="H45" s="40"/>
      <c r="I45" s="50"/>
      <c r="J45" s="43"/>
    </row>
    <row r="46" spans="2:10">
      <c r="B46" s="40"/>
      <c r="C46" s="40"/>
      <c r="D46" s="40"/>
      <c r="E46" s="43"/>
      <c r="G46" s="44"/>
      <c r="H46" s="40"/>
      <c r="I46" s="50"/>
      <c r="J46" s="43"/>
    </row>
    <row r="47" spans="2:10">
      <c r="B47" s="40"/>
      <c r="C47" s="40"/>
      <c r="D47" s="40"/>
      <c r="E47" s="43"/>
      <c r="G47" s="44"/>
      <c r="H47" s="40"/>
      <c r="I47" s="50"/>
      <c r="J47" s="43"/>
    </row>
    <row r="48" spans="2:10">
      <c r="B48" s="40"/>
      <c r="C48" s="40"/>
      <c r="D48" s="40"/>
      <c r="E48" s="43"/>
      <c r="G48" s="44"/>
      <c r="H48" s="40"/>
      <c r="I48" s="50"/>
      <c r="J48" s="43"/>
    </row>
    <row r="49" spans="2:10">
      <c r="B49" s="40"/>
      <c r="C49" s="40"/>
      <c r="D49" s="40"/>
      <c r="E49" s="43"/>
      <c r="G49" s="44"/>
      <c r="H49" s="40"/>
      <c r="I49" s="50"/>
      <c r="J49" s="43"/>
    </row>
    <row r="50" spans="2:10">
      <c r="B50" s="40"/>
      <c r="C50" s="40"/>
      <c r="D50" s="40"/>
      <c r="E50" s="43"/>
      <c r="G50" s="44"/>
      <c r="H50" s="40"/>
      <c r="I50" s="50"/>
      <c r="J50" s="43"/>
    </row>
    <row r="51" spans="2:10">
      <c r="B51" s="40"/>
      <c r="C51" s="40"/>
      <c r="D51" s="40"/>
      <c r="E51" s="43"/>
      <c r="G51" s="44"/>
      <c r="H51" s="40"/>
      <c r="I51" s="50"/>
      <c r="J51" s="43"/>
    </row>
    <row r="52" spans="2:10">
      <c r="B52" s="40"/>
      <c r="C52" s="40"/>
      <c r="D52" s="40"/>
      <c r="E52" s="43"/>
      <c r="G52" s="44"/>
      <c r="H52" s="40"/>
      <c r="I52" s="50"/>
      <c r="J52" s="43"/>
    </row>
    <row r="53" spans="2:10">
      <c r="B53" s="40"/>
      <c r="C53" s="40"/>
      <c r="D53" s="40"/>
      <c r="E53" s="43"/>
      <c r="G53" s="44"/>
      <c r="H53" s="40"/>
      <c r="I53" s="50"/>
      <c r="J53" s="43"/>
    </row>
    <row r="54" spans="2:10">
      <c r="B54" s="40"/>
      <c r="C54" s="40"/>
      <c r="D54" s="40"/>
      <c r="E54" s="43"/>
      <c r="G54" s="44"/>
      <c r="H54" s="40"/>
      <c r="I54" s="50"/>
      <c r="J54" s="43"/>
    </row>
    <row r="55" spans="2:10">
      <c r="B55" s="40"/>
      <c r="C55" s="40"/>
      <c r="D55" s="40"/>
      <c r="E55" s="43"/>
      <c r="G55" s="44"/>
      <c r="H55" s="40"/>
      <c r="I55" s="50"/>
      <c r="J55" s="43"/>
    </row>
    <row r="56" spans="2:10">
      <c r="B56" s="40"/>
      <c r="C56" s="40"/>
      <c r="D56" s="40"/>
      <c r="E56" s="43"/>
      <c r="G56" s="44"/>
      <c r="H56" s="40"/>
      <c r="I56" s="50"/>
      <c r="J56" s="43"/>
    </row>
    <row r="57" spans="2:10">
      <c r="B57" s="40"/>
      <c r="C57" s="40"/>
      <c r="D57" s="40"/>
      <c r="E57" s="43"/>
      <c r="G57" s="44"/>
      <c r="H57" s="40"/>
      <c r="I57" s="50"/>
      <c r="J57" s="43"/>
    </row>
    <row r="58" spans="2:10">
      <c r="B58" s="40"/>
      <c r="C58" s="40"/>
      <c r="D58" s="40"/>
      <c r="E58" s="43"/>
      <c r="G58" s="44"/>
      <c r="H58" s="40"/>
      <c r="I58" s="50"/>
      <c r="J58" s="43"/>
    </row>
    <row r="59" spans="2:10">
      <c r="B59" s="40"/>
      <c r="C59" s="40"/>
      <c r="D59" s="40"/>
      <c r="E59" s="43"/>
      <c r="G59" s="44"/>
      <c r="H59" s="40"/>
      <c r="I59" s="50"/>
      <c r="J59" s="43"/>
    </row>
    <row r="60" spans="2:10">
      <c r="B60" s="40"/>
      <c r="C60" s="40"/>
      <c r="D60" s="40"/>
      <c r="E60" s="43"/>
      <c r="G60" s="44"/>
      <c r="H60" s="40"/>
      <c r="I60" s="50"/>
      <c r="J60" s="43"/>
    </row>
    <row r="61" spans="2:10">
      <c r="B61" s="40"/>
      <c r="C61" s="40"/>
      <c r="D61" s="40"/>
      <c r="E61" s="46"/>
      <c r="G61" s="44"/>
      <c r="H61" s="40"/>
      <c r="I61" s="50"/>
      <c r="J61" s="43"/>
    </row>
    <row r="62" spans="2:10">
      <c r="B62" s="40"/>
      <c r="C62" s="40"/>
      <c r="D62" s="40"/>
      <c r="E62" s="43"/>
      <c r="G62" s="44"/>
      <c r="H62" s="40"/>
      <c r="I62" s="50"/>
      <c r="J62" s="43"/>
    </row>
    <row r="63" spans="2:10">
      <c r="B63" s="40"/>
      <c r="C63" s="40"/>
      <c r="D63" s="40"/>
      <c r="E63" s="43"/>
      <c r="G63" s="44"/>
      <c r="H63" s="40"/>
      <c r="I63" s="50"/>
      <c r="J63" s="43"/>
    </row>
    <row r="64" spans="2:10">
      <c r="B64" s="40"/>
      <c r="C64" s="40"/>
      <c r="D64" s="40"/>
      <c r="E64" s="43"/>
      <c r="G64" s="44"/>
      <c r="H64" s="40"/>
      <c r="I64" s="50"/>
      <c r="J64" s="43"/>
    </row>
    <row r="65" spans="2:10">
      <c r="B65" s="40"/>
      <c r="C65" s="40"/>
      <c r="D65" s="40"/>
      <c r="E65" s="43"/>
      <c r="G65" s="44"/>
      <c r="H65" s="40"/>
      <c r="I65" s="50"/>
      <c r="J65" s="43"/>
    </row>
    <row r="66" spans="2:10">
      <c r="B66" s="40"/>
      <c r="C66" s="40"/>
      <c r="D66" s="40"/>
      <c r="E66" s="43"/>
      <c r="G66" s="44"/>
      <c r="H66" s="40"/>
      <c r="I66" s="50"/>
      <c r="J66" s="43"/>
    </row>
    <row r="67" spans="2:10">
      <c r="B67" s="40"/>
      <c r="C67" s="40"/>
      <c r="D67" s="40"/>
      <c r="E67" s="43"/>
      <c r="G67" s="44"/>
      <c r="H67" s="40"/>
      <c r="I67" s="50"/>
      <c r="J67" s="43"/>
    </row>
    <row r="68" spans="2:10">
      <c r="B68" s="40"/>
      <c r="C68" s="40"/>
      <c r="D68" s="40"/>
      <c r="E68" s="43"/>
      <c r="G68" s="44"/>
      <c r="H68" s="40"/>
      <c r="I68" s="50"/>
      <c r="J68" s="43"/>
    </row>
    <row r="69" spans="2:10">
      <c r="B69" s="40"/>
      <c r="C69" s="40"/>
      <c r="D69" s="40"/>
      <c r="E69" s="43"/>
      <c r="G69" s="44"/>
      <c r="H69" s="40"/>
      <c r="I69" s="50"/>
      <c r="J69" s="43"/>
    </row>
    <row r="70" spans="2:10">
      <c r="B70" s="40"/>
      <c r="C70" s="40"/>
      <c r="D70" s="40"/>
      <c r="E70" s="43"/>
      <c r="G70" s="44"/>
      <c r="H70" s="40"/>
      <c r="I70" s="50"/>
      <c r="J70" s="43"/>
    </row>
    <row r="71" spans="2:10">
      <c r="B71" s="40"/>
      <c r="C71" s="40"/>
      <c r="D71" s="40"/>
      <c r="E71" s="43"/>
      <c r="G71" s="44"/>
      <c r="H71" s="40"/>
      <c r="I71" s="50"/>
      <c r="J71" s="43"/>
    </row>
    <row r="72" spans="2:10">
      <c r="B72" s="40"/>
      <c r="C72" s="40"/>
      <c r="D72" s="40"/>
      <c r="E72" s="46"/>
      <c r="G72" s="44"/>
      <c r="H72" s="40"/>
      <c r="I72" s="50"/>
      <c r="J72" s="43"/>
    </row>
    <row r="73" spans="2:10">
      <c r="B73" s="40"/>
      <c r="C73" s="40"/>
      <c r="D73" s="40"/>
      <c r="E73" s="43"/>
      <c r="G73" s="44"/>
      <c r="H73" s="40"/>
      <c r="I73" s="50"/>
      <c r="J73" s="43"/>
    </row>
    <row r="74" spans="2:10">
      <c r="B74" s="40"/>
      <c r="C74" s="40"/>
      <c r="D74" s="40"/>
      <c r="E74" s="43"/>
      <c r="G74" s="44"/>
      <c r="H74" s="40"/>
      <c r="I74" s="50"/>
      <c r="J74" s="43"/>
    </row>
    <row r="75" spans="2:10">
      <c r="B75" s="40"/>
      <c r="C75" s="40"/>
      <c r="D75" s="40"/>
      <c r="E75" s="43"/>
      <c r="G75" s="44"/>
      <c r="H75" s="40"/>
      <c r="I75" s="50"/>
      <c r="J75" s="43"/>
    </row>
    <row r="76" spans="2:10">
      <c r="B76" s="40"/>
      <c r="C76" s="40"/>
      <c r="D76" s="40"/>
      <c r="E76" s="43"/>
      <c r="G76" s="44"/>
      <c r="H76" s="40"/>
      <c r="I76" s="50"/>
      <c r="J76" s="43"/>
    </row>
    <row r="77" spans="2:10">
      <c r="B77" s="40"/>
      <c r="C77" s="40"/>
      <c r="D77" s="40"/>
      <c r="E77" s="43"/>
      <c r="G77" s="44"/>
      <c r="H77" s="40"/>
      <c r="I77" s="50"/>
      <c r="J77" s="43"/>
    </row>
    <row r="78" spans="2:10">
      <c r="B78" s="40"/>
      <c r="C78" s="40"/>
      <c r="D78" s="40"/>
      <c r="E78" s="43"/>
      <c r="G78" s="44"/>
      <c r="H78" s="40"/>
      <c r="I78" s="50"/>
      <c r="J78" s="43"/>
    </row>
    <row r="79" spans="2:10">
      <c r="B79" s="40"/>
      <c r="C79" s="40"/>
      <c r="D79" s="40"/>
      <c r="E79" s="43"/>
      <c r="G79" s="44"/>
      <c r="H79" s="40"/>
      <c r="I79" s="50"/>
      <c r="J79" s="43"/>
    </row>
    <row r="80" spans="2:10">
      <c r="B80" s="40"/>
      <c r="C80" s="40"/>
      <c r="D80" s="40"/>
      <c r="E80" s="43"/>
      <c r="G80" s="44"/>
      <c r="H80" s="40"/>
      <c r="I80" s="50"/>
      <c r="J80" s="43"/>
    </row>
    <row r="81" spans="2:10">
      <c r="B81" s="40"/>
      <c r="C81" s="40"/>
      <c r="D81" s="40"/>
      <c r="E81" s="43"/>
      <c r="G81" s="44"/>
      <c r="H81" s="40"/>
      <c r="I81" s="50"/>
      <c r="J81" s="43"/>
    </row>
    <row r="82" spans="2:10">
      <c r="B82" s="40"/>
      <c r="C82" s="40"/>
      <c r="D82" s="40"/>
      <c r="E82" s="46"/>
      <c r="G82" s="44"/>
      <c r="H82" s="40"/>
      <c r="I82" s="50"/>
      <c r="J82" s="43"/>
    </row>
    <row r="83" spans="2:10">
      <c r="B83" s="40"/>
      <c r="C83" s="40"/>
      <c r="D83" s="40"/>
      <c r="E83" s="43"/>
      <c r="G83" s="44"/>
      <c r="H83" s="40"/>
      <c r="I83" s="50"/>
      <c r="J83" s="43"/>
    </row>
    <row r="84" spans="2:10">
      <c r="B84" s="40"/>
      <c r="C84" s="40"/>
      <c r="D84" s="40"/>
      <c r="E84" s="43"/>
      <c r="G84" s="44"/>
      <c r="H84" s="40"/>
      <c r="I84" s="50"/>
      <c r="J84" s="43"/>
    </row>
    <row r="85" spans="2:10">
      <c r="B85" s="40"/>
      <c r="C85" s="40"/>
      <c r="D85" s="40"/>
      <c r="E85" s="43"/>
      <c r="G85" s="44"/>
      <c r="H85" s="40"/>
      <c r="I85" s="50"/>
      <c r="J85" s="43"/>
    </row>
    <row r="86" spans="2:10">
      <c r="B86" s="40"/>
      <c r="C86" s="40"/>
      <c r="D86" s="40"/>
      <c r="E86" s="43"/>
      <c r="G86" s="44"/>
      <c r="H86" s="40"/>
      <c r="I86" s="50"/>
      <c r="J86" s="43"/>
    </row>
    <row r="87" spans="2:10">
      <c r="B87" s="40"/>
      <c r="C87" s="40"/>
      <c r="D87" s="40"/>
      <c r="E87" s="43"/>
      <c r="G87" s="44"/>
      <c r="H87" s="40"/>
      <c r="I87" s="50"/>
      <c r="J87" s="43"/>
    </row>
    <row r="88" spans="2:10">
      <c r="B88" s="40"/>
      <c r="C88" s="40"/>
      <c r="D88" s="40"/>
      <c r="E88" s="43"/>
      <c r="G88" s="44"/>
      <c r="H88" s="40"/>
      <c r="I88" s="50"/>
      <c r="J88" s="43"/>
    </row>
    <row r="89" spans="2:10">
      <c r="B89" s="40"/>
      <c r="C89" s="40"/>
      <c r="D89" s="40"/>
      <c r="E89" s="43"/>
      <c r="G89" s="44"/>
      <c r="H89" s="40"/>
      <c r="I89" s="50"/>
      <c r="J89" s="43"/>
    </row>
    <row r="90" spans="2:10">
      <c r="B90" s="40"/>
      <c r="C90" s="40"/>
      <c r="D90" s="40"/>
      <c r="E90" s="43"/>
      <c r="G90" s="44"/>
      <c r="H90" s="40"/>
      <c r="I90" s="50"/>
      <c r="J90" s="43"/>
    </row>
    <row r="91" spans="2:10">
      <c r="B91" s="40"/>
      <c r="C91" s="40"/>
      <c r="D91" s="40"/>
      <c r="E91" s="46"/>
      <c r="G91" s="44"/>
      <c r="H91" s="40"/>
      <c r="I91" s="50"/>
      <c r="J91" s="43"/>
    </row>
    <row r="92" spans="2:10">
      <c r="B92" s="40"/>
      <c r="C92" s="40"/>
      <c r="D92" s="40"/>
      <c r="E92" s="43"/>
      <c r="G92" s="44"/>
      <c r="H92" s="40"/>
      <c r="I92" s="50"/>
      <c r="J92" s="43"/>
    </row>
    <row r="93" spans="2:10">
      <c r="B93" s="40"/>
      <c r="C93" s="40"/>
      <c r="D93" s="40"/>
      <c r="E93" s="43"/>
      <c r="G93" s="44"/>
      <c r="H93" s="40"/>
      <c r="I93" s="50"/>
      <c r="J93" s="43"/>
    </row>
    <row r="94" spans="2:10">
      <c r="B94" s="40"/>
      <c r="C94" s="40"/>
      <c r="D94" s="40"/>
      <c r="E94" s="43"/>
      <c r="G94" s="44"/>
      <c r="H94" s="40"/>
      <c r="I94" s="50"/>
      <c r="J94" s="43"/>
    </row>
    <row r="95" spans="2:10">
      <c r="B95" s="40"/>
      <c r="C95" s="40"/>
      <c r="D95" s="40"/>
      <c r="E95" s="43"/>
      <c r="G95" s="44"/>
      <c r="H95" s="40"/>
      <c r="I95" s="50"/>
      <c r="J95" s="43"/>
    </row>
    <row r="96" spans="2:10">
      <c r="B96" s="40"/>
      <c r="C96" s="40"/>
      <c r="D96" s="40"/>
      <c r="E96" s="43"/>
      <c r="G96" s="44"/>
      <c r="H96" s="40"/>
      <c r="I96" s="50"/>
      <c r="J96" s="43"/>
    </row>
    <row r="97" spans="2:10">
      <c r="B97" s="40"/>
      <c r="C97" s="40"/>
      <c r="D97" s="40"/>
      <c r="E97" s="43"/>
      <c r="G97" s="44"/>
      <c r="H97" s="40"/>
      <c r="I97" s="50"/>
      <c r="J97" s="43"/>
    </row>
    <row r="98" spans="2:10">
      <c r="B98" s="40"/>
      <c r="C98" s="40"/>
      <c r="D98" s="40"/>
      <c r="E98" s="43"/>
      <c r="G98" s="44"/>
      <c r="H98" s="40"/>
      <c r="I98" s="50"/>
      <c r="J98" s="43"/>
    </row>
    <row r="99" spans="2:10">
      <c r="B99" s="40"/>
      <c r="C99" s="40"/>
      <c r="D99" s="40"/>
      <c r="E99" s="43"/>
      <c r="G99" s="44"/>
      <c r="H99" s="40"/>
      <c r="I99" s="50"/>
      <c r="J99" s="43"/>
    </row>
    <row r="100" spans="2:10">
      <c r="B100" s="40"/>
      <c r="C100" s="40"/>
      <c r="D100" s="40"/>
      <c r="E100" s="43"/>
      <c r="G100" s="44"/>
      <c r="H100" s="40"/>
      <c r="I100" s="50"/>
      <c r="J100" s="43"/>
    </row>
  </sheetData>
  <sortState xmlns:xlrd2="http://schemas.microsoft.com/office/spreadsheetml/2017/richdata2" ref="B13:J244">
    <sortCondition ref="B12:B244"/>
  </sortState>
  <mergeCells count="2">
    <mergeCell ref="L11:M11"/>
    <mergeCell ref="C1:K9"/>
  </mergeCells>
  <dataValidations count="1">
    <dataValidation type="whole" operator="equal" allowBlank="1" showInputMessage="1" showErrorMessage="1" sqref="A1 P12:P21 B11" xr:uid="{74085B2C-B99D-47D1-A837-21DD0B2DBF7C}">
      <formula1>9</formula1>
    </dataValidation>
  </dataValidations>
  <hyperlinks>
    <hyperlink ref="A3" location="väljamõeldud_inimesed" display="väljamõeldud_inimesed" xr:uid="{B8921CA9-092C-4AD6-B2D9-B190E33A14C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mestesordid">
                <anchor moveWithCells="1" sizeWithCells="1">
                  <from>
                    <xdr:col>12</xdr:col>
                    <xdr:colOff>350520</xdr:colOff>
                    <xdr:row>4</xdr:row>
                    <xdr:rowOff>99060</xdr:rowOff>
                  </from>
                  <to>
                    <xdr:col>14</xdr:col>
                    <xdr:colOff>327660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8CE75E-C1A6-41FD-B9EA-FED4664CF3EC}">
          <x14:formula1>
            <xm:f>Inimesed!$H$6:$H$93</xm:f>
          </x14:formula1>
          <xm:sqref>M13</xm:sqref>
        </x14:dataValidation>
        <x14:dataValidation type="list" allowBlank="1" showInputMessage="1" showErrorMessage="1" xr:uid="{BC206152-9A8B-467F-9574-9ADCDCB6FA43}">
          <x14:formula1>
            <xm:f>Inimesed!$N$6:$N$93</xm:f>
          </x14:formula1>
          <xm:sqref>L13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53BE-F30E-4F6C-8F08-D57519F2A660}">
  <sheetPr codeName="Sheet4">
    <tabColor theme="2"/>
  </sheetPr>
  <dimension ref="A1:R93"/>
  <sheetViews>
    <sheetView topLeftCell="A37" zoomScale="26" zoomScaleNormal="100" workbookViewId="0">
      <selection activeCell="A5" sqref="A5:R93"/>
    </sheetView>
  </sheetViews>
  <sheetFormatPr defaultRowHeight="14.4"/>
  <cols>
    <col min="1" max="1" width="13.5546875" customWidth="1"/>
    <col min="3" max="3" width="11.44140625" customWidth="1"/>
    <col min="6" max="6" width="13.21875" customWidth="1"/>
    <col min="8" max="8" width="11" customWidth="1"/>
    <col min="12" max="12" width="11.21875" customWidth="1"/>
    <col min="14" max="14" width="16.6640625" bestFit="1" customWidth="1"/>
    <col min="15" max="15" width="11.6640625" bestFit="1" customWidth="1"/>
  </cols>
  <sheetData>
    <row r="1" spans="1:18">
      <c r="J1" s="2"/>
    </row>
    <row r="2" spans="1:18">
      <c r="J2" s="4"/>
    </row>
    <row r="3" spans="1:18">
      <c r="J3" s="4"/>
    </row>
    <row r="5" spans="1:18">
      <c r="A5" s="37" t="s">
        <v>106</v>
      </c>
      <c r="B5" s="38" t="s">
        <v>107</v>
      </c>
      <c r="C5" s="38" t="s">
        <v>108</v>
      </c>
      <c r="D5" s="38" t="s">
        <v>109</v>
      </c>
      <c r="E5" s="37" t="s">
        <v>110</v>
      </c>
      <c r="F5" s="37" t="s">
        <v>111</v>
      </c>
      <c r="G5" s="38" t="s">
        <v>112</v>
      </c>
      <c r="H5" s="37" t="s">
        <v>113</v>
      </c>
      <c r="I5" s="37" t="s">
        <v>114</v>
      </c>
      <c r="J5" s="37" t="s">
        <v>115</v>
      </c>
      <c r="K5" s="39" t="s">
        <v>116</v>
      </c>
      <c r="L5" s="38" t="s">
        <v>117</v>
      </c>
      <c r="M5" s="38" t="s">
        <v>118</v>
      </c>
      <c r="N5" s="39" t="s">
        <v>119</v>
      </c>
      <c r="O5" s="39" t="s">
        <v>120</v>
      </c>
      <c r="P5" s="39" t="s">
        <v>121</v>
      </c>
      <c r="Q5" s="39" t="s">
        <v>122</v>
      </c>
      <c r="R5" s="39" t="s">
        <v>123</v>
      </c>
    </row>
    <row r="6" spans="1:18">
      <c r="A6">
        <v>38602110722</v>
      </c>
      <c r="B6" s="40" t="s">
        <v>124</v>
      </c>
      <c r="C6" s="40" t="s">
        <v>125</v>
      </c>
      <c r="D6" s="40" t="s">
        <v>38</v>
      </c>
      <c r="E6" s="41">
        <v>1986</v>
      </c>
      <c r="F6" s="42">
        <v>31454</v>
      </c>
      <c r="G6" s="40">
        <f ca="1">INT((TODAY()-F6)/365.25)</f>
        <v>40</v>
      </c>
      <c r="H6" s="43" t="s">
        <v>126</v>
      </c>
      <c r="I6" s="43" t="s">
        <v>63</v>
      </c>
      <c r="J6" s="43" t="s">
        <v>127</v>
      </c>
      <c r="K6" s="44">
        <v>1150</v>
      </c>
      <c r="L6" s="40" t="s">
        <v>128</v>
      </c>
      <c r="M6" s="40" t="s">
        <v>129</v>
      </c>
      <c r="N6" s="46" t="s">
        <v>130</v>
      </c>
      <c r="O6" s="45" t="s">
        <v>131</v>
      </c>
      <c r="P6" t="s">
        <v>132</v>
      </c>
      <c r="Q6" t="s">
        <v>133</v>
      </c>
      <c r="R6" t="s">
        <v>134</v>
      </c>
    </row>
    <row r="7" spans="1:18">
      <c r="A7">
        <v>38804250911</v>
      </c>
      <c r="B7" s="40" t="s">
        <v>135</v>
      </c>
      <c r="C7" s="40" t="s">
        <v>136</v>
      </c>
      <c r="D7" s="40" t="s">
        <v>38</v>
      </c>
      <c r="E7" s="41">
        <v>1988</v>
      </c>
      <c r="F7" s="42">
        <v>32258</v>
      </c>
      <c r="G7" s="40">
        <f ca="1">INT((TODAY()-F7)/365.25)</f>
        <v>38</v>
      </c>
      <c r="H7" s="43" t="s">
        <v>137</v>
      </c>
      <c r="I7" s="43" t="s">
        <v>63</v>
      </c>
      <c r="J7" s="43" t="s">
        <v>127</v>
      </c>
      <c r="K7" s="44">
        <v>1370</v>
      </c>
      <c r="L7" s="40" t="s">
        <v>138</v>
      </c>
      <c r="M7" s="40" t="s">
        <v>139</v>
      </c>
      <c r="N7" s="46" t="s">
        <v>140</v>
      </c>
      <c r="O7" s="45" t="s">
        <v>141</v>
      </c>
      <c r="P7" t="s">
        <v>142</v>
      </c>
      <c r="Q7" t="s">
        <v>143</v>
      </c>
      <c r="R7" t="s">
        <v>144</v>
      </c>
    </row>
    <row r="8" spans="1:18">
      <c r="A8">
        <v>36504190222</v>
      </c>
      <c r="B8" s="40" t="s">
        <v>145</v>
      </c>
      <c r="C8" s="40" t="s">
        <v>146</v>
      </c>
      <c r="D8" s="40" t="s">
        <v>38</v>
      </c>
      <c r="E8" s="41">
        <v>1965</v>
      </c>
      <c r="F8" s="42">
        <v>23851</v>
      </c>
      <c r="G8" s="40">
        <f ca="1">INT((TODAY()-F8)/365.25)</f>
        <v>61</v>
      </c>
      <c r="H8" s="43" t="s">
        <v>147</v>
      </c>
      <c r="I8" s="43" t="s">
        <v>63</v>
      </c>
      <c r="J8" s="43" t="s">
        <v>127</v>
      </c>
      <c r="K8" s="44">
        <v>1360</v>
      </c>
      <c r="L8" s="40" t="s">
        <v>148</v>
      </c>
      <c r="M8" s="40" t="s">
        <v>149</v>
      </c>
      <c r="N8" s="46" t="s">
        <v>150</v>
      </c>
      <c r="O8" s="45" t="s">
        <v>141</v>
      </c>
      <c r="P8" t="s">
        <v>151</v>
      </c>
      <c r="Q8" t="s">
        <v>143</v>
      </c>
      <c r="R8" t="s">
        <v>144</v>
      </c>
    </row>
    <row r="9" spans="1:18">
      <c r="A9">
        <v>37004050217</v>
      </c>
      <c r="B9" s="40" t="s">
        <v>152</v>
      </c>
      <c r="C9" s="40" t="s">
        <v>153</v>
      </c>
      <c r="D9" s="40" t="s">
        <v>38</v>
      </c>
      <c r="E9" s="41">
        <v>1970</v>
      </c>
      <c r="F9" s="42">
        <v>25663</v>
      </c>
      <c r="G9" s="40">
        <f t="shared" ref="G9:G72" ca="1" si="0">INT((TODAY()-F9)/365.25)</f>
        <v>56</v>
      </c>
      <c r="H9" s="43" t="s">
        <v>126</v>
      </c>
      <c r="I9" s="43" t="s">
        <v>66</v>
      </c>
      <c r="J9" s="43" t="s">
        <v>154</v>
      </c>
      <c r="K9" s="44">
        <v>1090</v>
      </c>
      <c r="L9" s="40" t="s">
        <v>155</v>
      </c>
      <c r="M9" s="40" t="s">
        <v>156</v>
      </c>
      <c r="N9" s="46" t="s">
        <v>157</v>
      </c>
      <c r="O9" s="45" t="s">
        <v>141</v>
      </c>
      <c r="P9" t="s">
        <v>151</v>
      </c>
      <c r="Q9" t="s">
        <v>143</v>
      </c>
      <c r="R9" t="s">
        <v>144</v>
      </c>
    </row>
    <row r="10" spans="1:18">
      <c r="A10">
        <v>38402070214</v>
      </c>
      <c r="B10" s="40" t="s">
        <v>158</v>
      </c>
      <c r="C10" s="40" t="s">
        <v>159</v>
      </c>
      <c r="D10" s="40" t="s">
        <v>38</v>
      </c>
      <c r="E10" s="41">
        <v>1984</v>
      </c>
      <c r="F10" s="42">
        <v>30719</v>
      </c>
      <c r="G10" s="40">
        <f t="shared" ca="1" si="0"/>
        <v>42</v>
      </c>
      <c r="H10" s="43" t="s">
        <v>126</v>
      </c>
      <c r="I10" s="43" t="s">
        <v>66</v>
      </c>
      <c r="J10" s="43" t="s">
        <v>154</v>
      </c>
      <c r="K10" s="44">
        <v>1160</v>
      </c>
      <c r="L10" s="40" t="s">
        <v>160</v>
      </c>
      <c r="M10" s="40" t="s">
        <v>161</v>
      </c>
      <c r="N10" s="46" t="s">
        <v>162</v>
      </c>
      <c r="O10" s="45" t="s">
        <v>163</v>
      </c>
      <c r="P10" t="s">
        <v>132</v>
      </c>
      <c r="Q10" t="s">
        <v>133</v>
      </c>
      <c r="R10" t="s">
        <v>134</v>
      </c>
    </row>
    <row r="11" spans="1:18">
      <c r="A11">
        <v>60005030944</v>
      </c>
      <c r="B11" s="40" t="s">
        <v>164</v>
      </c>
      <c r="C11" s="40" t="s">
        <v>165</v>
      </c>
      <c r="D11" s="40" t="s">
        <v>44</v>
      </c>
      <c r="E11" s="41">
        <v>2000</v>
      </c>
      <c r="F11" s="42">
        <v>36649</v>
      </c>
      <c r="G11" s="40">
        <f t="shared" ca="1" si="0"/>
        <v>26</v>
      </c>
      <c r="H11" s="43" t="s">
        <v>137</v>
      </c>
      <c r="I11" s="43" t="s">
        <v>63</v>
      </c>
      <c r="J11" s="43" t="s">
        <v>166</v>
      </c>
      <c r="K11" s="44">
        <v>750</v>
      </c>
      <c r="L11" s="40" t="s">
        <v>167</v>
      </c>
      <c r="M11" s="40" t="s">
        <v>168</v>
      </c>
      <c r="N11" s="46" t="s">
        <v>169</v>
      </c>
      <c r="O11" s="45" t="s">
        <v>170</v>
      </c>
      <c r="P11" t="s">
        <v>142</v>
      </c>
      <c r="Q11" t="s">
        <v>171</v>
      </c>
      <c r="R11" t="s">
        <v>144</v>
      </c>
    </row>
    <row r="12" spans="1:18">
      <c r="A12">
        <v>37202200902</v>
      </c>
      <c r="B12" s="40" t="s">
        <v>172</v>
      </c>
      <c r="C12" s="40" t="s">
        <v>173</v>
      </c>
      <c r="D12" s="40" t="s">
        <v>38</v>
      </c>
      <c r="E12" s="41">
        <v>1972</v>
      </c>
      <c r="F12" s="42">
        <v>26349</v>
      </c>
      <c r="G12" s="40">
        <f t="shared" ca="1" si="0"/>
        <v>54</v>
      </c>
      <c r="H12" s="43" t="s">
        <v>174</v>
      </c>
      <c r="I12" s="43" t="s">
        <v>66</v>
      </c>
      <c r="J12" s="43" t="s">
        <v>154</v>
      </c>
      <c r="K12" s="44">
        <v>980</v>
      </c>
      <c r="L12" s="40" t="s">
        <v>175</v>
      </c>
      <c r="M12" s="40" t="s">
        <v>176</v>
      </c>
      <c r="N12" s="46" t="s">
        <v>130</v>
      </c>
      <c r="O12" s="45" t="s">
        <v>177</v>
      </c>
      <c r="P12" t="s">
        <v>178</v>
      </c>
      <c r="Q12" t="s">
        <v>133</v>
      </c>
      <c r="R12" t="s">
        <v>134</v>
      </c>
    </row>
    <row r="13" spans="1:18">
      <c r="A13">
        <v>36902240722</v>
      </c>
      <c r="B13" s="40" t="s">
        <v>179</v>
      </c>
      <c r="C13" s="40" t="s">
        <v>180</v>
      </c>
      <c r="D13" s="40" t="s">
        <v>38</v>
      </c>
      <c r="E13" s="41">
        <v>1969</v>
      </c>
      <c r="F13" s="42">
        <v>25258</v>
      </c>
      <c r="G13" s="40">
        <f t="shared" ca="1" si="0"/>
        <v>57</v>
      </c>
      <c r="H13" s="43" t="s">
        <v>174</v>
      </c>
      <c r="I13" s="43" t="s">
        <v>66</v>
      </c>
      <c r="J13" s="43" t="s">
        <v>154</v>
      </c>
      <c r="K13" s="44">
        <v>1050</v>
      </c>
      <c r="L13" s="40" t="s">
        <v>160</v>
      </c>
      <c r="M13" s="40" t="s">
        <v>181</v>
      </c>
      <c r="N13" s="46" t="s">
        <v>182</v>
      </c>
      <c r="O13" s="45" t="s">
        <v>183</v>
      </c>
      <c r="P13" t="s">
        <v>178</v>
      </c>
      <c r="Q13" t="s">
        <v>133</v>
      </c>
      <c r="R13" t="s">
        <v>134</v>
      </c>
    </row>
    <row r="14" spans="1:18">
      <c r="A14">
        <v>47402150417</v>
      </c>
      <c r="B14" s="40" t="s">
        <v>184</v>
      </c>
      <c r="C14" s="40" t="s">
        <v>185</v>
      </c>
      <c r="D14" s="40" t="s">
        <v>44</v>
      </c>
      <c r="E14" s="41">
        <v>1974</v>
      </c>
      <c r="F14" s="42">
        <v>27075</v>
      </c>
      <c r="G14" s="40">
        <f t="shared" ca="1" si="0"/>
        <v>52</v>
      </c>
      <c r="H14" s="43" t="s">
        <v>126</v>
      </c>
      <c r="I14" s="43" t="s">
        <v>63</v>
      </c>
      <c r="J14" s="43" t="s">
        <v>186</v>
      </c>
      <c r="K14" s="44">
        <v>1070</v>
      </c>
      <c r="L14" s="40" t="s">
        <v>187</v>
      </c>
      <c r="M14" s="40" t="s">
        <v>188</v>
      </c>
      <c r="N14" s="46" t="s">
        <v>130</v>
      </c>
      <c r="O14" s="45" t="s">
        <v>141</v>
      </c>
      <c r="P14" t="s">
        <v>132</v>
      </c>
      <c r="Q14" t="s">
        <v>133</v>
      </c>
      <c r="R14" t="s">
        <v>134</v>
      </c>
    </row>
    <row r="15" spans="1:18">
      <c r="A15">
        <v>45203030178</v>
      </c>
      <c r="B15" s="40" t="s">
        <v>189</v>
      </c>
      <c r="C15" s="40" t="s">
        <v>190</v>
      </c>
      <c r="D15" s="40" t="s">
        <v>44</v>
      </c>
      <c r="E15" s="41">
        <v>1952</v>
      </c>
      <c r="F15" s="42">
        <v>19056</v>
      </c>
      <c r="G15" s="40">
        <f t="shared" ca="1" si="0"/>
        <v>74</v>
      </c>
      <c r="H15" s="43" t="s">
        <v>147</v>
      </c>
      <c r="I15" s="43" t="s">
        <v>191</v>
      </c>
      <c r="J15" s="43" t="s">
        <v>61</v>
      </c>
      <c r="K15" s="44">
        <v>2540</v>
      </c>
      <c r="L15" s="40" t="s">
        <v>192</v>
      </c>
      <c r="M15" s="40" t="s">
        <v>193</v>
      </c>
      <c r="N15" s="46" t="s">
        <v>194</v>
      </c>
      <c r="O15" s="45" t="s">
        <v>177</v>
      </c>
      <c r="P15" t="s">
        <v>178</v>
      </c>
      <c r="Q15" t="s">
        <v>195</v>
      </c>
      <c r="R15" t="s">
        <v>144</v>
      </c>
    </row>
    <row r="16" spans="1:18">
      <c r="A16">
        <v>37210240441</v>
      </c>
      <c r="B16" s="40" t="s">
        <v>196</v>
      </c>
      <c r="C16" s="40" t="s">
        <v>197</v>
      </c>
      <c r="D16" s="40" t="s">
        <v>38</v>
      </c>
      <c r="E16" s="41">
        <v>1972</v>
      </c>
      <c r="F16" s="42">
        <v>26596</v>
      </c>
      <c r="G16" s="40">
        <f t="shared" ca="1" si="0"/>
        <v>53</v>
      </c>
      <c r="H16" s="43" t="s">
        <v>147</v>
      </c>
      <c r="I16" s="43" t="s">
        <v>48</v>
      </c>
      <c r="J16" s="43" t="s">
        <v>61</v>
      </c>
      <c r="K16" s="44">
        <v>3270</v>
      </c>
      <c r="L16" s="40" t="s">
        <v>198</v>
      </c>
      <c r="M16" s="40" t="s">
        <v>199</v>
      </c>
      <c r="N16" s="46" t="s">
        <v>194</v>
      </c>
      <c r="O16" s="45" t="s">
        <v>141</v>
      </c>
      <c r="P16" t="s">
        <v>200</v>
      </c>
      <c r="Q16" t="s">
        <v>201</v>
      </c>
      <c r="R16" t="s">
        <v>202</v>
      </c>
    </row>
    <row r="17" spans="1:18">
      <c r="A17">
        <v>49810090988</v>
      </c>
      <c r="B17" s="40" t="s">
        <v>203</v>
      </c>
      <c r="C17" s="40" t="s">
        <v>204</v>
      </c>
      <c r="D17" s="40" t="s">
        <v>44</v>
      </c>
      <c r="E17" s="41">
        <v>1998</v>
      </c>
      <c r="F17" s="42">
        <v>36077</v>
      </c>
      <c r="G17" s="40">
        <f t="shared" ca="1" si="0"/>
        <v>27</v>
      </c>
      <c r="H17" s="43" t="s">
        <v>126</v>
      </c>
      <c r="I17" s="46" t="s">
        <v>69</v>
      </c>
      <c r="J17" s="46" t="s">
        <v>61</v>
      </c>
      <c r="K17" s="44">
        <v>3650</v>
      </c>
      <c r="L17" s="40" t="s">
        <v>160</v>
      </c>
      <c r="M17" s="40" t="s">
        <v>205</v>
      </c>
      <c r="N17" s="46" t="s">
        <v>194</v>
      </c>
      <c r="O17" s="45" t="s">
        <v>177</v>
      </c>
      <c r="P17" t="s">
        <v>206</v>
      </c>
      <c r="Q17" t="s">
        <v>201</v>
      </c>
      <c r="R17" t="s">
        <v>202</v>
      </c>
    </row>
    <row r="18" spans="1:18">
      <c r="A18">
        <v>36710060017</v>
      </c>
      <c r="B18" s="40" t="s">
        <v>207</v>
      </c>
      <c r="C18" s="40" t="s">
        <v>208</v>
      </c>
      <c r="D18" s="40" t="s">
        <v>38</v>
      </c>
      <c r="E18" s="41">
        <v>1967</v>
      </c>
      <c r="F18" s="42">
        <v>24751</v>
      </c>
      <c r="G18" s="40">
        <f t="shared" ca="1" si="0"/>
        <v>58</v>
      </c>
      <c r="H18" s="43" t="s">
        <v>209</v>
      </c>
      <c r="I18" s="43" t="s">
        <v>54</v>
      </c>
      <c r="J18" s="43" t="s">
        <v>61</v>
      </c>
      <c r="K18" s="44">
        <v>2270</v>
      </c>
      <c r="L18" s="40" t="s">
        <v>210</v>
      </c>
      <c r="M18" s="40" t="s">
        <v>211</v>
      </c>
      <c r="N18" s="46" t="s">
        <v>169</v>
      </c>
      <c r="O18" s="45" t="s">
        <v>177</v>
      </c>
      <c r="P18" t="s">
        <v>206</v>
      </c>
      <c r="Q18" t="s">
        <v>201</v>
      </c>
      <c r="R18" t="s">
        <v>202</v>
      </c>
    </row>
    <row r="19" spans="1:18">
      <c r="A19">
        <v>38305190379</v>
      </c>
      <c r="B19" s="40" t="s">
        <v>212</v>
      </c>
      <c r="C19" s="40" t="s">
        <v>213</v>
      </c>
      <c r="D19" s="40" t="s">
        <v>38</v>
      </c>
      <c r="E19" s="41">
        <v>1983</v>
      </c>
      <c r="F19" s="42">
        <v>30455</v>
      </c>
      <c r="G19" s="40">
        <f t="shared" ca="1" si="0"/>
        <v>43</v>
      </c>
      <c r="H19" s="43" t="s">
        <v>137</v>
      </c>
      <c r="I19" s="43" t="s">
        <v>77</v>
      </c>
      <c r="J19" s="43" t="s">
        <v>61</v>
      </c>
      <c r="K19" s="44">
        <v>2960</v>
      </c>
      <c r="L19" s="40" t="s">
        <v>210</v>
      </c>
      <c r="M19" s="40" t="s">
        <v>139</v>
      </c>
      <c r="N19" s="46" t="s">
        <v>157</v>
      </c>
      <c r="O19" s="45" t="s">
        <v>141</v>
      </c>
      <c r="P19" t="s">
        <v>142</v>
      </c>
      <c r="Q19" t="s">
        <v>171</v>
      </c>
      <c r="R19" t="s">
        <v>144</v>
      </c>
    </row>
    <row r="20" spans="1:18">
      <c r="A20">
        <v>36909210954</v>
      </c>
      <c r="B20" s="40" t="s">
        <v>214</v>
      </c>
      <c r="C20" s="40" t="s">
        <v>215</v>
      </c>
      <c r="D20" s="40" t="s">
        <v>38</v>
      </c>
      <c r="E20" s="41">
        <v>1969</v>
      </c>
      <c r="F20" s="42">
        <v>25467</v>
      </c>
      <c r="G20" s="40">
        <f t="shared" ca="1" si="0"/>
        <v>56</v>
      </c>
      <c r="H20" s="43" t="s">
        <v>126</v>
      </c>
      <c r="I20" s="43" t="s">
        <v>66</v>
      </c>
      <c r="J20" s="43" t="s">
        <v>61</v>
      </c>
      <c r="K20" s="44">
        <v>3650</v>
      </c>
      <c r="L20" s="40" t="s">
        <v>216</v>
      </c>
      <c r="M20" s="40" t="s">
        <v>217</v>
      </c>
      <c r="N20" s="46" t="s">
        <v>218</v>
      </c>
      <c r="O20" s="45" t="s">
        <v>219</v>
      </c>
      <c r="P20" t="s">
        <v>220</v>
      </c>
      <c r="Q20" t="s">
        <v>221</v>
      </c>
      <c r="R20" t="s">
        <v>202</v>
      </c>
    </row>
    <row r="21" spans="1:18">
      <c r="A21">
        <v>60011130888</v>
      </c>
      <c r="B21" s="40" t="s">
        <v>222</v>
      </c>
      <c r="C21" s="40" t="s">
        <v>223</v>
      </c>
      <c r="D21" s="40" t="s">
        <v>44</v>
      </c>
      <c r="E21" s="41">
        <v>2000</v>
      </c>
      <c r="F21" s="42">
        <v>36843</v>
      </c>
      <c r="G21" s="40">
        <f t="shared" ca="1" si="0"/>
        <v>25</v>
      </c>
      <c r="H21" s="43" t="s">
        <v>137</v>
      </c>
      <c r="I21" s="43" t="s">
        <v>69</v>
      </c>
      <c r="J21" s="43" t="s">
        <v>166</v>
      </c>
      <c r="K21" s="44">
        <v>730</v>
      </c>
      <c r="L21" s="40" t="s">
        <v>138</v>
      </c>
      <c r="M21" s="40" t="s">
        <v>224</v>
      </c>
      <c r="N21" s="46" t="s">
        <v>162</v>
      </c>
      <c r="O21" s="45" t="s">
        <v>225</v>
      </c>
      <c r="P21" t="s">
        <v>200</v>
      </c>
      <c r="Q21" t="s">
        <v>226</v>
      </c>
      <c r="R21" t="s">
        <v>202</v>
      </c>
    </row>
    <row r="22" spans="1:18">
      <c r="A22">
        <v>47311240925</v>
      </c>
      <c r="B22" s="40" t="s">
        <v>203</v>
      </c>
      <c r="C22" s="40" t="s">
        <v>227</v>
      </c>
      <c r="D22" s="40" t="s">
        <v>44</v>
      </c>
      <c r="E22" s="41">
        <v>1973</v>
      </c>
      <c r="F22" s="42">
        <v>26992</v>
      </c>
      <c r="G22" s="40">
        <f t="shared" ca="1" si="0"/>
        <v>52</v>
      </c>
      <c r="H22" s="43" t="s">
        <v>147</v>
      </c>
      <c r="I22" s="43" t="s">
        <v>69</v>
      </c>
      <c r="J22" s="43" t="s">
        <v>228</v>
      </c>
      <c r="K22" s="44">
        <v>2270</v>
      </c>
      <c r="L22" s="40" t="s">
        <v>210</v>
      </c>
      <c r="M22" s="40" t="s">
        <v>229</v>
      </c>
      <c r="N22" s="46" t="s">
        <v>157</v>
      </c>
      <c r="O22" s="45" t="s">
        <v>163</v>
      </c>
      <c r="P22" t="s">
        <v>230</v>
      </c>
      <c r="Q22" t="s">
        <v>226</v>
      </c>
      <c r="R22" t="s">
        <v>202</v>
      </c>
    </row>
    <row r="23" spans="1:18">
      <c r="A23">
        <v>39902030149</v>
      </c>
      <c r="B23" s="40" t="s">
        <v>231</v>
      </c>
      <c r="C23" s="40" t="s">
        <v>232</v>
      </c>
      <c r="D23" s="40" t="s">
        <v>38</v>
      </c>
      <c r="E23" s="41">
        <v>1999</v>
      </c>
      <c r="F23" s="42">
        <v>36194</v>
      </c>
      <c r="G23" s="40">
        <f t="shared" ca="1" si="0"/>
        <v>27</v>
      </c>
      <c r="H23" s="43" t="s">
        <v>147</v>
      </c>
      <c r="I23" s="43" t="s">
        <v>54</v>
      </c>
      <c r="J23" s="43" t="s">
        <v>233</v>
      </c>
      <c r="K23" s="44">
        <v>1030</v>
      </c>
      <c r="L23" s="40" t="s">
        <v>234</v>
      </c>
      <c r="M23" s="40" t="s">
        <v>235</v>
      </c>
      <c r="N23" s="46" t="s">
        <v>236</v>
      </c>
      <c r="O23" s="45" t="s">
        <v>219</v>
      </c>
      <c r="P23" t="s">
        <v>132</v>
      </c>
      <c r="Q23" t="s">
        <v>133</v>
      </c>
      <c r="R23" t="s">
        <v>134</v>
      </c>
    </row>
    <row r="24" spans="1:18">
      <c r="A24">
        <v>49706210936</v>
      </c>
      <c r="B24" s="40" t="s">
        <v>237</v>
      </c>
      <c r="C24" s="40" t="s">
        <v>238</v>
      </c>
      <c r="D24" s="40" t="s">
        <v>44</v>
      </c>
      <c r="E24" s="41">
        <v>1997</v>
      </c>
      <c r="F24" s="42">
        <v>35602</v>
      </c>
      <c r="G24" s="40">
        <f t="shared" ca="1" si="0"/>
        <v>29</v>
      </c>
      <c r="H24" s="43" t="s">
        <v>147</v>
      </c>
      <c r="I24" s="43" t="s">
        <v>191</v>
      </c>
      <c r="J24" s="43" t="s">
        <v>166</v>
      </c>
      <c r="K24" s="44">
        <v>650</v>
      </c>
      <c r="L24" s="40" t="s">
        <v>239</v>
      </c>
      <c r="M24" s="40" t="s">
        <v>240</v>
      </c>
      <c r="N24" s="46" t="s">
        <v>241</v>
      </c>
      <c r="O24" s="45" t="s">
        <v>177</v>
      </c>
      <c r="P24" t="s">
        <v>242</v>
      </c>
      <c r="Q24" t="s">
        <v>243</v>
      </c>
      <c r="R24" t="s">
        <v>244</v>
      </c>
    </row>
    <row r="25" spans="1:18">
      <c r="A25">
        <v>48401080820</v>
      </c>
      <c r="B25" s="40" t="s">
        <v>245</v>
      </c>
      <c r="C25" s="40" t="s">
        <v>246</v>
      </c>
      <c r="D25" s="40" t="s">
        <v>44</v>
      </c>
      <c r="E25" s="41">
        <v>1984</v>
      </c>
      <c r="F25" s="42">
        <v>30689</v>
      </c>
      <c r="G25" s="40">
        <f t="shared" ca="1" si="0"/>
        <v>42</v>
      </c>
      <c r="H25" s="43" t="s">
        <v>147</v>
      </c>
      <c r="I25" s="43" t="s">
        <v>191</v>
      </c>
      <c r="J25" s="43" t="s">
        <v>166</v>
      </c>
      <c r="K25" s="44">
        <v>720</v>
      </c>
      <c r="L25" s="40" t="s">
        <v>247</v>
      </c>
      <c r="M25" s="40" t="s">
        <v>248</v>
      </c>
      <c r="N25" s="46" t="s">
        <v>241</v>
      </c>
      <c r="O25" s="45" t="s">
        <v>131</v>
      </c>
      <c r="P25" t="s">
        <v>249</v>
      </c>
      <c r="Q25" t="s">
        <v>250</v>
      </c>
      <c r="R25" t="s">
        <v>134</v>
      </c>
    </row>
    <row r="26" spans="1:18">
      <c r="A26">
        <v>36808140585</v>
      </c>
      <c r="B26" s="40" t="s">
        <v>251</v>
      </c>
      <c r="C26" s="40" t="s">
        <v>252</v>
      </c>
      <c r="D26" s="40" t="s">
        <v>38</v>
      </c>
      <c r="E26" s="41">
        <v>1968</v>
      </c>
      <c r="F26" s="42">
        <v>25064</v>
      </c>
      <c r="G26" s="40">
        <f t="shared" ca="1" si="0"/>
        <v>57</v>
      </c>
      <c r="H26" s="43" t="s">
        <v>147</v>
      </c>
      <c r="I26" s="43" t="s">
        <v>63</v>
      </c>
      <c r="J26" s="43" t="s">
        <v>127</v>
      </c>
      <c r="K26" s="44">
        <v>1180</v>
      </c>
      <c r="L26" s="40" t="s">
        <v>253</v>
      </c>
      <c r="M26" s="40" t="s">
        <v>254</v>
      </c>
      <c r="N26" s="46" t="s">
        <v>150</v>
      </c>
      <c r="O26" s="45" t="s">
        <v>141</v>
      </c>
      <c r="P26" t="s">
        <v>255</v>
      </c>
      <c r="Q26" t="s">
        <v>256</v>
      </c>
      <c r="R26" t="s">
        <v>244</v>
      </c>
    </row>
    <row r="27" spans="1:18">
      <c r="A27">
        <v>35811080030</v>
      </c>
      <c r="B27" s="40" t="s">
        <v>257</v>
      </c>
      <c r="C27" s="40" t="s">
        <v>258</v>
      </c>
      <c r="D27" s="40" t="s">
        <v>38</v>
      </c>
      <c r="E27" s="41">
        <v>1958</v>
      </c>
      <c r="F27" s="42">
        <v>21497</v>
      </c>
      <c r="G27" s="40">
        <f t="shared" ca="1" si="0"/>
        <v>67</v>
      </c>
      <c r="H27" s="43" t="s">
        <v>126</v>
      </c>
      <c r="I27" s="43" t="s">
        <v>63</v>
      </c>
      <c r="J27" s="43" t="s">
        <v>127</v>
      </c>
      <c r="K27" s="44">
        <v>940</v>
      </c>
      <c r="L27" s="40" t="s">
        <v>259</v>
      </c>
      <c r="M27" s="40" t="s">
        <v>260</v>
      </c>
      <c r="N27" s="46" t="s">
        <v>241</v>
      </c>
      <c r="O27" s="45" t="s">
        <v>177</v>
      </c>
      <c r="P27" t="s">
        <v>200</v>
      </c>
      <c r="Q27" t="s">
        <v>226</v>
      </c>
      <c r="R27" t="s">
        <v>202</v>
      </c>
    </row>
    <row r="28" spans="1:18">
      <c r="A28">
        <v>37210070151</v>
      </c>
      <c r="B28" s="40" t="s">
        <v>261</v>
      </c>
      <c r="C28" s="40" t="s">
        <v>262</v>
      </c>
      <c r="D28" s="40" t="s">
        <v>38</v>
      </c>
      <c r="E28" s="41">
        <v>1972</v>
      </c>
      <c r="F28" s="42">
        <v>26579</v>
      </c>
      <c r="G28" s="40">
        <f t="shared" ca="1" si="0"/>
        <v>53</v>
      </c>
      <c r="H28" s="43" t="s">
        <v>147</v>
      </c>
      <c r="I28" s="43" t="s">
        <v>63</v>
      </c>
      <c r="J28" s="43" t="s">
        <v>127</v>
      </c>
      <c r="K28" s="44">
        <v>1050</v>
      </c>
      <c r="L28" s="40" t="s">
        <v>263</v>
      </c>
      <c r="M28" s="40" t="s">
        <v>264</v>
      </c>
      <c r="N28" s="46" t="s">
        <v>130</v>
      </c>
      <c r="O28" s="45" t="s">
        <v>163</v>
      </c>
      <c r="P28" t="s">
        <v>206</v>
      </c>
      <c r="Q28" t="s">
        <v>201</v>
      </c>
      <c r="R28" t="s">
        <v>202</v>
      </c>
    </row>
    <row r="29" spans="1:18">
      <c r="A29">
        <v>35504050446</v>
      </c>
      <c r="B29" s="40" t="s">
        <v>265</v>
      </c>
      <c r="C29" s="40" t="s">
        <v>266</v>
      </c>
      <c r="D29" s="40" t="s">
        <v>38</v>
      </c>
      <c r="E29" s="41">
        <v>1955</v>
      </c>
      <c r="F29" s="42">
        <v>20184</v>
      </c>
      <c r="G29" s="40">
        <f t="shared" ca="1" si="0"/>
        <v>71</v>
      </c>
      <c r="H29" s="43" t="s">
        <v>174</v>
      </c>
      <c r="I29" s="43" t="s">
        <v>63</v>
      </c>
      <c r="J29" s="43" t="s">
        <v>127</v>
      </c>
      <c r="K29" s="44">
        <v>1160</v>
      </c>
      <c r="L29" s="40" t="s">
        <v>247</v>
      </c>
      <c r="M29" s="40" t="s">
        <v>267</v>
      </c>
      <c r="N29" s="46" t="s">
        <v>268</v>
      </c>
      <c r="O29" s="45" t="s">
        <v>170</v>
      </c>
      <c r="P29" t="s">
        <v>151</v>
      </c>
      <c r="Q29" t="s">
        <v>143</v>
      </c>
      <c r="R29" t="s">
        <v>144</v>
      </c>
    </row>
    <row r="30" spans="1:18">
      <c r="A30">
        <v>46207110230</v>
      </c>
      <c r="B30" s="40" t="s">
        <v>184</v>
      </c>
      <c r="C30" s="40" t="s">
        <v>269</v>
      </c>
      <c r="D30" s="40" t="s">
        <v>44</v>
      </c>
      <c r="E30" s="41">
        <v>1962</v>
      </c>
      <c r="F30" s="42">
        <v>22838</v>
      </c>
      <c r="G30" s="40">
        <f t="shared" ca="1" si="0"/>
        <v>64</v>
      </c>
      <c r="H30" s="43" t="s">
        <v>209</v>
      </c>
      <c r="I30" s="43" t="s">
        <v>191</v>
      </c>
      <c r="J30" s="43" t="s">
        <v>166</v>
      </c>
      <c r="K30" s="44">
        <v>650</v>
      </c>
      <c r="L30" s="40" t="s">
        <v>234</v>
      </c>
      <c r="M30" s="40" t="s">
        <v>217</v>
      </c>
      <c r="N30" s="46" t="s">
        <v>157</v>
      </c>
      <c r="O30" s="45" t="s">
        <v>163</v>
      </c>
      <c r="P30" t="s">
        <v>270</v>
      </c>
      <c r="Q30" t="s">
        <v>271</v>
      </c>
      <c r="R30" t="s">
        <v>244</v>
      </c>
    </row>
    <row r="31" spans="1:18">
      <c r="A31">
        <v>38901180808</v>
      </c>
      <c r="B31" s="40" t="s">
        <v>231</v>
      </c>
      <c r="C31" s="40" t="s">
        <v>272</v>
      </c>
      <c r="D31" s="40" t="s">
        <v>38</v>
      </c>
      <c r="E31" s="41">
        <v>1989</v>
      </c>
      <c r="F31" s="42">
        <v>32526</v>
      </c>
      <c r="G31" s="40">
        <f t="shared" ca="1" si="0"/>
        <v>37</v>
      </c>
      <c r="H31" s="43" t="s">
        <v>147</v>
      </c>
      <c r="I31" s="43" t="s">
        <v>48</v>
      </c>
      <c r="J31" s="43" t="s">
        <v>273</v>
      </c>
      <c r="K31" s="44">
        <v>1150</v>
      </c>
      <c r="L31" s="40" t="s">
        <v>274</v>
      </c>
      <c r="M31" s="40" t="s">
        <v>275</v>
      </c>
      <c r="N31" s="46" t="s">
        <v>182</v>
      </c>
      <c r="O31" s="45" t="s">
        <v>177</v>
      </c>
      <c r="P31" t="s">
        <v>249</v>
      </c>
      <c r="Q31" t="s">
        <v>250</v>
      </c>
      <c r="R31" t="s">
        <v>134</v>
      </c>
    </row>
    <row r="32" spans="1:18">
      <c r="A32">
        <v>37609120658</v>
      </c>
      <c r="B32" s="40" t="s">
        <v>179</v>
      </c>
      <c r="C32" s="40" t="s">
        <v>276</v>
      </c>
      <c r="D32" s="40" t="s">
        <v>38</v>
      </c>
      <c r="E32" s="41">
        <v>1976</v>
      </c>
      <c r="F32" s="42">
        <v>28015</v>
      </c>
      <c r="G32" s="40">
        <f t="shared" ca="1" si="0"/>
        <v>49</v>
      </c>
      <c r="H32" s="43" t="s">
        <v>147</v>
      </c>
      <c r="I32" s="43" t="s">
        <v>48</v>
      </c>
      <c r="J32" s="43" t="s">
        <v>277</v>
      </c>
      <c r="K32" s="44">
        <v>1420</v>
      </c>
      <c r="L32" s="40" t="s">
        <v>263</v>
      </c>
      <c r="M32" s="40" t="s">
        <v>278</v>
      </c>
      <c r="N32" s="46" t="s">
        <v>130</v>
      </c>
      <c r="O32" s="45" t="s">
        <v>163</v>
      </c>
      <c r="P32" t="s">
        <v>220</v>
      </c>
      <c r="Q32" t="s">
        <v>221</v>
      </c>
      <c r="R32" t="s">
        <v>202</v>
      </c>
    </row>
    <row r="33" spans="1:18">
      <c r="A33">
        <v>50008130050</v>
      </c>
      <c r="B33" s="40" t="s">
        <v>279</v>
      </c>
      <c r="C33" s="40" t="s">
        <v>280</v>
      </c>
      <c r="D33" s="40" t="s">
        <v>38</v>
      </c>
      <c r="E33" s="41">
        <v>2000</v>
      </c>
      <c r="F33" s="42">
        <v>36751</v>
      </c>
      <c r="G33" s="40">
        <f t="shared" ca="1" si="0"/>
        <v>25</v>
      </c>
      <c r="H33" s="43" t="s">
        <v>137</v>
      </c>
      <c r="I33" s="43" t="s">
        <v>48</v>
      </c>
      <c r="J33" s="43" t="s">
        <v>166</v>
      </c>
      <c r="K33" s="44">
        <v>700</v>
      </c>
      <c r="L33" s="40" t="s">
        <v>281</v>
      </c>
      <c r="M33" s="40" t="s">
        <v>282</v>
      </c>
      <c r="N33" s="46" t="s">
        <v>283</v>
      </c>
      <c r="O33" s="45" t="s">
        <v>219</v>
      </c>
      <c r="P33" t="s">
        <v>255</v>
      </c>
      <c r="Q33" t="s">
        <v>256</v>
      </c>
      <c r="R33" t="s">
        <v>244</v>
      </c>
    </row>
    <row r="34" spans="1:18">
      <c r="A34">
        <v>47105020007</v>
      </c>
      <c r="B34" s="40" t="s">
        <v>284</v>
      </c>
      <c r="C34" s="40" t="s">
        <v>285</v>
      </c>
      <c r="D34" s="40" t="s">
        <v>44</v>
      </c>
      <c r="E34" s="41">
        <v>1971</v>
      </c>
      <c r="F34" s="42">
        <v>26055</v>
      </c>
      <c r="G34" s="40">
        <f t="shared" ca="1" si="0"/>
        <v>55</v>
      </c>
      <c r="H34" s="43" t="s">
        <v>147</v>
      </c>
      <c r="I34" s="43" t="s">
        <v>66</v>
      </c>
      <c r="J34" s="43" t="s">
        <v>59</v>
      </c>
      <c r="K34" s="44">
        <v>1270</v>
      </c>
      <c r="L34" s="40" t="s">
        <v>234</v>
      </c>
      <c r="M34" s="40" t="s">
        <v>286</v>
      </c>
      <c r="N34" s="46" t="s">
        <v>140</v>
      </c>
      <c r="O34" s="45" t="s">
        <v>170</v>
      </c>
      <c r="P34" t="s">
        <v>142</v>
      </c>
      <c r="Q34" t="s">
        <v>171</v>
      </c>
      <c r="R34" t="s">
        <v>144</v>
      </c>
    </row>
    <row r="35" spans="1:18">
      <c r="A35">
        <v>37110010868</v>
      </c>
      <c r="B35" s="40" t="s">
        <v>287</v>
      </c>
      <c r="C35" s="40" t="s">
        <v>288</v>
      </c>
      <c r="D35" s="40" t="s">
        <v>38</v>
      </c>
      <c r="E35" s="41">
        <v>1971</v>
      </c>
      <c r="F35" s="42">
        <v>26207</v>
      </c>
      <c r="G35" s="40">
        <f t="shared" ca="1" si="0"/>
        <v>54</v>
      </c>
      <c r="H35" s="43" t="s">
        <v>174</v>
      </c>
      <c r="I35" s="43" t="s">
        <v>66</v>
      </c>
      <c r="J35" s="43" t="s">
        <v>59</v>
      </c>
      <c r="K35" s="44">
        <v>2080</v>
      </c>
      <c r="L35" s="40" t="s">
        <v>289</v>
      </c>
      <c r="M35" s="40" t="s">
        <v>290</v>
      </c>
      <c r="N35" s="46" t="s">
        <v>150</v>
      </c>
      <c r="O35" s="45" t="s">
        <v>225</v>
      </c>
      <c r="P35" t="s">
        <v>206</v>
      </c>
      <c r="Q35" t="s">
        <v>201</v>
      </c>
      <c r="R35" t="s">
        <v>202</v>
      </c>
    </row>
    <row r="36" spans="1:18">
      <c r="A36">
        <v>45704030496</v>
      </c>
      <c r="B36" s="40" t="s">
        <v>291</v>
      </c>
      <c r="C36" s="40" t="s">
        <v>292</v>
      </c>
      <c r="D36" s="40" t="s">
        <v>44</v>
      </c>
      <c r="E36" s="41">
        <v>1957</v>
      </c>
      <c r="F36" s="42">
        <v>20913</v>
      </c>
      <c r="G36" s="40">
        <f t="shared" ca="1" si="0"/>
        <v>69</v>
      </c>
      <c r="H36" s="43" t="s">
        <v>147</v>
      </c>
      <c r="I36" s="43" t="s">
        <v>69</v>
      </c>
      <c r="J36" s="43" t="s">
        <v>87</v>
      </c>
      <c r="K36" s="44">
        <v>1274</v>
      </c>
      <c r="L36" s="40" t="s">
        <v>192</v>
      </c>
      <c r="M36" s="40" t="s">
        <v>293</v>
      </c>
      <c r="N36" s="46" t="s">
        <v>130</v>
      </c>
      <c r="O36" s="45" t="s">
        <v>163</v>
      </c>
      <c r="P36" t="s">
        <v>151</v>
      </c>
      <c r="Q36" t="s">
        <v>143</v>
      </c>
      <c r="R36" t="s">
        <v>144</v>
      </c>
    </row>
    <row r="37" spans="1:18">
      <c r="A37">
        <v>60005130963</v>
      </c>
      <c r="B37" s="40" t="s">
        <v>284</v>
      </c>
      <c r="C37" s="40" t="s">
        <v>125</v>
      </c>
      <c r="D37" s="40" t="s">
        <v>44</v>
      </c>
      <c r="E37" s="41">
        <v>2000</v>
      </c>
      <c r="F37" s="42">
        <v>36659</v>
      </c>
      <c r="G37" s="40">
        <f t="shared" ca="1" si="0"/>
        <v>26</v>
      </c>
      <c r="H37" s="43" t="s">
        <v>137</v>
      </c>
      <c r="I37" s="43" t="s">
        <v>69</v>
      </c>
      <c r="J37" s="43" t="s">
        <v>166</v>
      </c>
      <c r="K37" s="44">
        <v>750</v>
      </c>
      <c r="L37" s="40" t="s">
        <v>138</v>
      </c>
      <c r="M37" s="40" t="s">
        <v>211</v>
      </c>
      <c r="N37" s="46" t="s">
        <v>294</v>
      </c>
      <c r="O37" s="45" t="s">
        <v>183</v>
      </c>
      <c r="P37" t="s">
        <v>142</v>
      </c>
      <c r="Q37" t="s">
        <v>171</v>
      </c>
      <c r="R37" t="s">
        <v>144</v>
      </c>
    </row>
    <row r="38" spans="1:18">
      <c r="A38">
        <v>38301060031</v>
      </c>
      <c r="B38" s="40" t="s">
        <v>295</v>
      </c>
      <c r="C38" s="40" t="s">
        <v>190</v>
      </c>
      <c r="D38" s="40" t="s">
        <v>38</v>
      </c>
      <c r="E38" s="41">
        <v>1983</v>
      </c>
      <c r="F38" s="42">
        <v>30322</v>
      </c>
      <c r="G38" s="40">
        <f t="shared" ca="1" si="0"/>
        <v>43</v>
      </c>
      <c r="H38" s="43" t="s">
        <v>147</v>
      </c>
      <c r="I38" s="43" t="s">
        <v>69</v>
      </c>
      <c r="J38" s="43" t="s">
        <v>87</v>
      </c>
      <c r="K38" s="44">
        <v>1160</v>
      </c>
      <c r="L38" s="40" t="s">
        <v>274</v>
      </c>
      <c r="M38" s="40" t="s">
        <v>296</v>
      </c>
      <c r="N38" s="46" t="s">
        <v>150</v>
      </c>
      <c r="O38" s="45" t="s">
        <v>141</v>
      </c>
      <c r="P38" t="s">
        <v>249</v>
      </c>
      <c r="Q38" t="s">
        <v>250</v>
      </c>
      <c r="R38" t="s">
        <v>134</v>
      </c>
    </row>
    <row r="39" spans="1:18">
      <c r="A39">
        <v>37008050804</v>
      </c>
      <c r="B39" s="40" t="s">
        <v>251</v>
      </c>
      <c r="C39" s="40" t="s">
        <v>297</v>
      </c>
      <c r="D39" s="40" t="s">
        <v>38</v>
      </c>
      <c r="E39" s="41">
        <v>1970</v>
      </c>
      <c r="F39" s="42">
        <v>25785</v>
      </c>
      <c r="G39" s="40">
        <f t="shared" ca="1" si="0"/>
        <v>55</v>
      </c>
      <c r="H39" s="43" t="s">
        <v>174</v>
      </c>
      <c r="I39" s="43" t="s">
        <v>48</v>
      </c>
      <c r="J39" s="43" t="s">
        <v>273</v>
      </c>
      <c r="K39" s="44">
        <v>860</v>
      </c>
      <c r="L39" s="40" t="s">
        <v>216</v>
      </c>
      <c r="M39" s="40" t="s">
        <v>298</v>
      </c>
      <c r="N39" s="46" t="s">
        <v>241</v>
      </c>
      <c r="O39" s="45" t="s">
        <v>163</v>
      </c>
      <c r="P39" t="s">
        <v>255</v>
      </c>
      <c r="Q39" t="s">
        <v>256</v>
      </c>
      <c r="R39" t="s">
        <v>244</v>
      </c>
    </row>
    <row r="40" spans="1:18">
      <c r="A40">
        <v>36109040214</v>
      </c>
      <c r="B40" s="40" t="s">
        <v>152</v>
      </c>
      <c r="C40" s="40" t="s">
        <v>299</v>
      </c>
      <c r="D40" s="40" t="s">
        <v>38</v>
      </c>
      <c r="E40" s="41">
        <v>1961</v>
      </c>
      <c r="F40" s="42">
        <v>22528</v>
      </c>
      <c r="G40" s="40">
        <f t="shared" ca="1" si="0"/>
        <v>64</v>
      </c>
      <c r="H40" s="43" t="s">
        <v>126</v>
      </c>
      <c r="I40" s="43" t="s">
        <v>48</v>
      </c>
      <c r="J40" s="43" t="s">
        <v>273</v>
      </c>
      <c r="K40" s="44">
        <v>1270</v>
      </c>
      <c r="L40" s="40" t="s">
        <v>274</v>
      </c>
      <c r="M40" s="40" t="s">
        <v>300</v>
      </c>
      <c r="N40" s="46" t="s">
        <v>301</v>
      </c>
      <c r="O40" s="45" t="s">
        <v>163</v>
      </c>
      <c r="P40" t="s">
        <v>220</v>
      </c>
      <c r="Q40" t="s">
        <v>221</v>
      </c>
      <c r="R40" t="s">
        <v>202</v>
      </c>
    </row>
    <row r="41" spans="1:18">
      <c r="A41">
        <v>34506270104</v>
      </c>
      <c r="B41" s="40" t="s">
        <v>172</v>
      </c>
      <c r="C41" s="40" t="s">
        <v>302</v>
      </c>
      <c r="D41" s="40" t="s">
        <v>38</v>
      </c>
      <c r="E41" s="41">
        <v>1945</v>
      </c>
      <c r="F41" s="42">
        <v>16615</v>
      </c>
      <c r="G41" s="40">
        <f t="shared" ca="1" si="0"/>
        <v>81</v>
      </c>
      <c r="H41" s="43" t="s">
        <v>209</v>
      </c>
      <c r="I41" s="43" t="s">
        <v>48</v>
      </c>
      <c r="J41" s="43" t="s">
        <v>273</v>
      </c>
      <c r="K41" s="44">
        <v>1160</v>
      </c>
      <c r="L41" s="40" t="s">
        <v>303</v>
      </c>
      <c r="M41" s="40" t="s">
        <v>290</v>
      </c>
      <c r="N41" s="46" t="s">
        <v>236</v>
      </c>
      <c r="O41" s="45" t="s">
        <v>177</v>
      </c>
      <c r="P41" t="s">
        <v>270</v>
      </c>
      <c r="Q41" t="s">
        <v>243</v>
      </c>
      <c r="R41" t="s">
        <v>244</v>
      </c>
    </row>
    <row r="42" spans="1:18">
      <c r="A42">
        <v>38310210529</v>
      </c>
      <c r="B42" s="40" t="s">
        <v>304</v>
      </c>
      <c r="C42" s="40" t="s">
        <v>305</v>
      </c>
      <c r="D42" s="40" t="s">
        <v>38</v>
      </c>
      <c r="E42" s="41">
        <v>1983</v>
      </c>
      <c r="F42" s="42">
        <v>30610</v>
      </c>
      <c r="G42" s="40">
        <f t="shared" ca="1" si="0"/>
        <v>42</v>
      </c>
      <c r="H42" s="43" t="s">
        <v>147</v>
      </c>
      <c r="I42" s="43" t="s">
        <v>48</v>
      </c>
      <c r="J42" s="43" t="s">
        <v>273</v>
      </c>
      <c r="K42" s="44">
        <v>1290</v>
      </c>
      <c r="L42" s="40" t="s">
        <v>263</v>
      </c>
      <c r="M42" s="40" t="s">
        <v>306</v>
      </c>
      <c r="N42" s="46" t="s">
        <v>301</v>
      </c>
      <c r="O42" s="45" t="s">
        <v>141</v>
      </c>
      <c r="P42" t="s">
        <v>206</v>
      </c>
      <c r="Q42" t="s">
        <v>201</v>
      </c>
      <c r="R42" t="s">
        <v>202</v>
      </c>
    </row>
    <row r="43" spans="1:18">
      <c r="A43">
        <v>34017250511</v>
      </c>
      <c r="B43" s="40" t="s">
        <v>307</v>
      </c>
      <c r="C43" s="40" t="s">
        <v>308</v>
      </c>
      <c r="D43" s="40" t="s">
        <v>38</v>
      </c>
      <c r="E43" s="41">
        <v>1940</v>
      </c>
      <c r="F43" s="42">
        <v>15121</v>
      </c>
      <c r="G43" s="40">
        <f t="shared" ca="1" si="0"/>
        <v>85</v>
      </c>
      <c r="H43" s="43" t="s">
        <v>126</v>
      </c>
      <c r="I43" s="43" t="s">
        <v>48</v>
      </c>
      <c r="J43" s="43" t="s">
        <v>277</v>
      </c>
      <c r="K43" s="44">
        <v>1378</v>
      </c>
      <c r="L43" s="40" t="s">
        <v>309</v>
      </c>
      <c r="M43" s="40" t="s">
        <v>306</v>
      </c>
      <c r="N43" s="46" t="s">
        <v>294</v>
      </c>
      <c r="O43" s="45" t="s">
        <v>177</v>
      </c>
      <c r="P43" t="s">
        <v>242</v>
      </c>
      <c r="Q43" t="s">
        <v>171</v>
      </c>
      <c r="R43" t="s">
        <v>144</v>
      </c>
    </row>
    <row r="44" spans="1:18">
      <c r="A44">
        <v>50205180673</v>
      </c>
      <c r="B44" s="40" t="s">
        <v>158</v>
      </c>
      <c r="C44" s="40" t="s">
        <v>310</v>
      </c>
      <c r="D44" s="40" t="s">
        <v>38</v>
      </c>
      <c r="E44" s="41">
        <v>2002</v>
      </c>
      <c r="F44" s="42">
        <v>37394</v>
      </c>
      <c r="G44" s="40">
        <f t="shared" ca="1" si="0"/>
        <v>24</v>
      </c>
      <c r="H44" s="43" t="s">
        <v>126</v>
      </c>
      <c r="I44" s="43" t="s">
        <v>69</v>
      </c>
      <c r="J44" s="43" t="s">
        <v>87</v>
      </c>
      <c r="K44" s="44">
        <v>1270</v>
      </c>
      <c r="L44" s="40" t="s">
        <v>311</v>
      </c>
      <c r="M44" s="40" t="s">
        <v>312</v>
      </c>
      <c r="N44" s="46" t="s">
        <v>301</v>
      </c>
      <c r="O44" s="45" t="s">
        <v>170</v>
      </c>
      <c r="P44" t="s">
        <v>142</v>
      </c>
      <c r="Q44" t="s">
        <v>171</v>
      </c>
      <c r="R44" t="s">
        <v>144</v>
      </c>
    </row>
    <row r="45" spans="1:18">
      <c r="A45">
        <v>45409100049</v>
      </c>
      <c r="B45" s="40" t="s">
        <v>313</v>
      </c>
      <c r="C45" s="40" t="s">
        <v>314</v>
      </c>
      <c r="D45" s="40" t="s">
        <v>44</v>
      </c>
      <c r="E45" s="41">
        <v>1954</v>
      </c>
      <c r="F45" s="42">
        <v>19977</v>
      </c>
      <c r="G45" s="40">
        <f t="shared" ca="1" si="0"/>
        <v>71</v>
      </c>
      <c r="H45" s="43" t="s">
        <v>209</v>
      </c>
      <c r="I45" s="43" t="s">
        <v>69</v>
      </c>
      <c r="J45" s="43" t="s">
        <v>87</v>
      </c>
      <c r="K45" s="44">
        <v>1270</v>
      </c>
      <c r="L45" s="40" t="s">
        <v>192</v>
      </c>
      <c r="M45" s="40" t="s">
        <v>217</v>
      </c>
      <c r="N45" s="46" t="s">
        <v>140</v>
      </c>
      <c r="O45" s="45" t="s">
        <v>219</v>
      </c>
      <c r="P45" t="s">
        <v>220</v>
      </c>
      <c r="Q45" t="s">
        <v>221</v>
      </c>
      <c r="R45" t="s">
        <v>202</v>
      </c>
    </row>
    <row r="46" spans="1:18">
      <c r="A46">
        <v>45109030894</v>
      </c>
      <c r="B46" s="40" t="s">
        <v>315</v>
      </c>
      <c r="C46" s="40" t="s">
        <v>316</v>
      </c>
      <c r="D46" s="40" t="s">
        <v>44</v>
      </c>
      <c r="E46" s="41">
        <v>1951</v>
      </c>
      <c r="F46" s="42">
        <v>18874</v>
      </c>
      <c r="G46" s="40">
        <f t="shared" ca="1" si="0"/>
        <v>74</v>
      </c>
      <c r="H46" s="43" t="s">
        <v>147</v>
      </c>
      <c r="I46" s="43" t="s">
        <v>69</v>
      </c>
      <c r="J46" s="43" t="s">
        <v>317</v>
      </c>
      <c r="K46" s="44">
        <v>970</v>
      </c>
      <c r="L46" s="40" t="s">
        <v>239</v>
      </c>
      <c r="M46" s="40" t="s">
        <v>318</v>
      </c>
      <c r="N46" s="46" t="s">
        <v>294</v>
      </c>
      <c r="O46" s="45" t="s">
        <v>141</v>
      </c>
      <c r="P46" t="s">
        <v>220</v>
      </c>
      <c r="Q46" t="s">
        <v>221</v>
      </c>
      <c r="R46" t="s">
        <v>202</v>
      </c>
    </row>
    <row r="47" spans="1:18">
      <c r="A47">
        <v>45909050610</v>
      </c>
      <c r="B47" s="40" t="s">
        <v>319</v>
      </c>
      <c r="C47" s="40" t="s">
        <v>320</v>
      </c>
      <c r="D47" s="40" t="s">
        <v>44</v>
      </c>
      <c r="E47" s="41">
        <v>1959</v>
      </c>
      <c r="F47" s="42">
        <v>21798</v>
      </c>
      <c r="G47" s="40">
        <f t="shared" ca="1" si="0"/>
        <v>66</v>
      </c>
      <c r="H47" s="43" t="s">
        <v>137</v>
      </c>
      <c r="I47" s="43" t="s">
        <v>66</v>
      </c>
      <c r="J47" s="43" t="s">
        <v>321</v>
      </c>
      <c r="K47" s="44">
        <v>850</v>
      </c>
      <c r="L47" s="40" t="s">
        <v>210</v>
      </c>
      <c r="M47" s="40" t="s">
        <v>322</v>
      </c>
      <c r="N47" s="46" t="s">
        <v>140</v>
      </c>
      <c r="O47" s="45" t="s">
        <v>177</v>
      </c>
      <c r="P47" t="s">
        <v>220</v>
      </c>
      <c r="Q47" t="s">
        <v>221</v>
      </c>
      <c r="R47" t="s">
        <v>202</v>
      </c>
    </row>
    <row r="48" spans="1:18">
      <c r="A48">
        <v>48308230166</v>
      </c>
      <c r="B48" s="40" t="s">
        <v>323</v>
      </c>
      <c r="C48" s="40" t="s">
        <v>324</v>
      </c>
      <c r="D48" s="40" t="s">
        <v>44</v>
      </c>
      <c r="E48" s="41">
        <v>1983</v>
      </c>
      <c r="F48" s="42">
        <v>30551</v>
      </c>
      <c r="G48" s="40">
        <f t="shared" ca="1" si="0"/>
        <v>42</v>
      </c>
      <c r="H48" s="43" t="s">
        <v>147</v>
      </c>
      <c r="I48" s="43" t="s">
        <v>191</v>
      </c>
      <c r="J48" s="43" t="s">
        <v>321</v>
      </c>
      <c r="K48" s="44">
        <v>770</v>
      </c>
      <c r="L48" s="40" t="s">
        <v>160</v>
      </c>
      <c r="M48" s="40" t="s">
        <v>325</v>
      </c>
      <c r="N48" s="46" t="s">
        <v>241</v>
      </c>
      <c r="O48" s="45" t="s">
        <v>141</v>
      </c>
      <c r="P48" t="s">
        <v>255</v>
      </c>
      <c r="Q48" t="s">
        <v>256</v>
      </c>
      <c r="R48" t="s">
        <v>244</v>
      </c>
    </row>
    <row r="49" spans="1:18">
      <c r="A49">
        <v>48508020335</v>
      </c>
      <c r="B49" s="40" t="s">
        <v>326</v>
      </c>
      <c r="C49" s="40" t="s">
        <v>327</v>
      </c>
      <c r="D49" s="40" t="s">
        <v>44</v>
      </c>
      <c r="E49" s="41">
        <v>1985</v>
      </c>
      <c r="F49" s="42">
        <v>31261</v>
      </c>
      <c r="G49" s="40">
        <f t="shared" ca="1" si="0"/>
        <v>40</v>
      </c>
      <c r="H49" s="43" t="s">
        <v>147</v>
      </c>
      <c r="I49" s="43" t="s">
        <v>77</v>
      </c>
      <c r="J49" s="43" t="s">
        <v>321</v>
      </c>
      <c r="K49" s="44">
        <v>1080</v>
      </c>
      <c r="L49" s="40" t="s">
        <v>328</v>
      </c>
      <c r="M49" s="40" t="s">
        <v>168</v>
      </c>
      <c r="N49" s="46" t="s">
        <v>294</v>
      </c>
      <c r="O49" s="45" t="s">
        <v>131</v>
      </c>
      <c r="P49" t="s">
        <v>255</v>
      </c>
      <c r="Q49" t="s">
        <v>256</v>
      </c>
      <c r="R49" t="s">
        <v>244</v>
      </c>
    </row>
    <row r="50" spans="1:18">
      <c r="A50">
        <v>60106190557</v>
      </c>
      <c r="B50" s="40" t="s">
        <v>329</v>
      </c>
      <c r="C50" s="40" t="s">
        <v>327</v>
      </c>
      <c r="D50" s="40" t="s">
        <v>44</v>
      </c>
      <c r="E50" s="41">
        <v>2001</v>
      </c>
      <c r="F50" s="42">
        <v>37061</v>
      </c>
      <c r="G50" s="40">
        <f t="shared" ca="1" si="0"/>
        <v>25</v>
      </c>
      <c r="H50" s="43" t="s">
        <v>209</v>
      </c>
      <c r="I50" s="43" t="s">
        <v>77</v>
      </c>
      <c r="J50" s="43" t="s">
        <v>321</v>
      </c>
      <c r="K50" s="44">
        <v>860</v>
      </c>
      <c r="L50" s="40" t="s">
        <v>160</v>
      </c>
      <c r="M50" s="40" t="s">
        <v>290</v>
      </c>
      <c r="N50" s="46" t="s">
        <v>169</v>
      </c>
      <c r="O50" s="45" t="s">
        <v>183</v>
      </c>
      <c r="P50" t="s">
        <v>242</v>
      </c>
      <c r="Q50" t="s">
        <v>243</v>
      </c>
      <c r="R50" t="s">
        <v>244</v>
      </c>
    </row>
    <row r="51" spans="1:18">
      <c r="A51">
        <v>36505130719</v>
      </c>
      <c r="B51" s="40" t="s">
        <v>158</v>
      </c>
      <c r="C51" s="40" t="s">
        <v>330</v>
      </c>
      <c r="D51" s="40" t="s">
        <v>38</v>
      </c>
      <c r="E51" s="41">
        <v>1965</v>
      </c>
      <c r="F51" s="42">
        <v>23875</v>
      </c>
      <c r="G51" s="40">
        <f t="shared" ca="1" si="0"/>
        <v>61</v>
      </c>
      <c r="H51" s="43" t="s">
        <v>147</v>
      </c>
      <c r="I51" s="43" t="s">
        <v>63</v>
      </c>
      <c r="J51" s="43" t="s">
        <v>127</v>
      </c>
      <c r="K51" s="44">
        <v>1090</v>
      </c>
      <c r="L51" s="40" t="s">
        <v>167</v>
      </c>
      <c r="M51" s="40" t="s">
        <v>331</v>
      </c>
      <c r="N51" s="46" t="s">
        <v>169</v>
      </c>
      <c r="O51" s="45" t="s">
        <v>163</v>
      </c>
      <c r="P51" t="s">
        <v>142</v>
      </c>
      <c r="Q51" t="s">
        <v>171</v>
      </c>
      <c r="R51" t="s">
        <v>144</v>
      </c>
    </row>
    <row r="52" spans="1:18">
      <c r="A52">
        <v>36705150941</v>
      </c>
      <c r="B52" s="40" t="s">
        <v>332</v>
      </c>
      <c r="C52" s="40" t="s">
        <v>333</v>
      </c>
      <c r="D52" s="40" t="s">
        <v>38</v>
      </c>
      <c r="E52" s="41">
        <v>1967</v>
      </c>
      <c r="F52" s="42">
        <v>24607</v>
      </c>
      <c r="G52" s="40">
        <f t="shared" ca="1" si="0"/>
        <v>59</v>
      </c>
      <c r="H52" s="43" t="s">
        <v>174</v>
      </c>
      <c r="I52" s="43" t="s">
        <v>63</v>
      </c>
      <c r="J52" s="43" t="s">
        <v>127</v>
      </c>
      <c r="K52" s="44">
        <v>970</v>
      </c>
      <c r="L52" s="40" t="s">
        <v>155</v>
      </c>
      <c r="M52" s="40" t="s">
        <v>334</v>
      </c>
      <c r="N52" s="46" t="s">
        <v>150</v>
      </c>
      <c r="O52" s="45" t="s">
        <v>131</v>
      </c>
      <c r="P52" t="s">
        <v>142</v>
      </c>
      <c r="Q52" t="s">
        <v>171</v>
      </c>
      <c r="R52" t="s">
        <v>144</v>
      </c>
    </row>
    <row r="53" spans="1:18">
      <c r="A53">
        <v>34303130136</v>
      </c>
      <c r="B53" s="40" t="s">
        <v>212</v>
      </c>
      <c r="C53" s="40" t="s">
        <v>335</v>
      </c>
      <c r="D53" s="40" t="s">
        <v>38</v>
      </c>
      <c r="E53" s="41">
        <v>1943</v>
      </c>
      <c r="F53" s="42">
        <v>15778</v>
      </c>
      <c r="G53" s="40">
        <f t="shared" ca="1" si="0"/>
        <v>83</v>
      </c>
      <c r="H53" s="43" t="s">
        <v>137</v>
      </c>
      <c r="I53" s="43" t="s">
        <v>63</v>
      </c>
      <c r="J53" s="43" t="s">
        <v>127</v>
      </c>
      <c r="K53" s="44">
        <v>1050</v>
      </c>
      <c r="L53" s="40" t="s">
        <v>253</v>
      </c>
      <c r="M53" s="40" t="s">
        <v>336</v>
      </c>
      <c r="N53" s="46" t="s">
        <v>140</v>
      </c>
      <c r="O53" s="45" t="s">
        <v>141</v>
      </c>
      <c r="P53" t="s">
        <v>178</v>
      </c>
      <c r="Q53" t="s">
        <v>195</v>
      </c>
      <c r="R53" t="s">
        <v>144</v>
      </c>
    </row>
    <row r="54" spans="1:18">
      <c r="A54">
        <v>37210060467</v>
      </c>
      <c r="B54" s="40" t="s">
        <v>337</v>
      </c>
      <c r="C54" s="40" t="s">
        <v>338</v>
      </c>
      <c r="D54" s="40" t="s">
        <v>38</v>
      </c>
      <c r="E54" s="41">
        <v>1972</v>
      </c>
      <c r="F54" s="42">
        <v>26578</v>
      </c>
      <c r="G54" s="40">
        <f t="shared" ca="1" si="0"/>
        <v>53</v>
      </c>
      <c r="H54" s="43" t="s">
        <v>209</v>
      </c>
      <c r="I54" s="43" t="s">
        <v>63</v>
      </c>
      <c r="J54" s="43" t="s">
        <v>127</v>
      </c>
      <c r="K54" s="44">
        <v>1070</v>
      </c>
      <c r="L54" s="40" t="s">
        <v>289</v>
      </c>
      <c r="M54" s="40" t="s">
        <v>339</v>
      </c>
      <c r="N54" s="46" t="s">
        <v>157</v>
      </c>
      <c r="O54" s="45" t="s">
        <v>219</v>
      </c>
      <c r="P54" t="s">
        <v>206</v>
      </c>
      <c r="Q54" t="s">
        <v>201</v>
      </c>
      <c r="R54" t="s">
        <v>202</v>
      </c>
    </row>
    <row r="55" spans="1:18">
      <c r="A55">
        <v>47214180084</v>
      </c>
      <c r="B55" s="40" t="s">
        <v>340</v>
      </c>
      <c r="C55" s="40" t="s">
        <v>341</v>
      </c>
      <c r="D55" s="40" t="s">
        <v>44</v>
      </c>
      <c r="E55" s="41">
        <v>1972</v>
      </c>
      <c r="F55" s="42">
        <v>26713</v>
      </c>
      <c r="G55" s="40">
        <f t="shared" ca="1" si="0"/>
        <v>53</v>
      </c>
      <c r="H55" s="43" t="s">
        <v>126</v>
      </c>
      <c r="I55" s="43" t="s">
        <v>66</v>
      </c>
      <c r="J55" s="43" t="s">
        <v>321</v>
      </c>
      <c r="K55" s="44">
        <v>860</v>
      </c>
      <c r="L55" s="40" t="s">
        <v>187</v>
      </c>
      <c r="M55" s="40" t="s">
        <v>342</v>
      </c>
      <c r="N55" s="46" t="s">
        <v>140</v>
      </c>
      <c r="O55" s="45" t="s">
        <v>177</v>
      </c>
      <c r="P55" t="s">
        <v>132</v>
      </c>
      <c r="Q55" t="s">
        <v>133</v>
      </c>
      <c r="R55" t="s">
        <v>134</v>
      </c>
    </row>
    <row r="56" spans="1:18">
      <c r="A56">
        <v>45508240148</v>
      </c>
      <c r="B56" s="40" t="s">
        <v>343</v>
      </c>
      <c r="C56" s="40" t="s">
        <v>344</v>
      </c>
      <c r="D56" s="40" t="s">
        <v>44</v>
      </c>
      <c r="E56" s="41">
        <v>1955</v>
      </c>
      <c r="F56" s="42">
        <v>20325</v>
      </c>
      <c r="G56" s="40">
        <f t="shared" ca="1" si="0"/>
        <v>70</v>
      </c>
      <c r="H56" s="43" t="s">
        <v>174</v>
      </c>
      <c r="I56" s="43" t="s">
        <v>66</v>
      </c>
      <c r="J56" s="43" t="s">
        <v>321</v>
      </c>
      <c r="K56" s="44">
        <v>980</v>
      </c>
      <c r="L56" s="40" t="s">
        <v>345</v>
      </c>
      <c r="M56" s="40" t="s">
        <v>346</v>
      </c>
      <c r="N56" s="46" t="s">
        <v>218</v>
      </c>
      <c r="O56" s="45" t="s">
        <v>163</v>
      </c>
      <c r="P56" t="s">
        <v>220</v>
      </c>
      <c r="Q56" t="s">
        <v>256</v>
      </c>
      <c r="R56" t="s">
        <v>244</v>
      </c>
    </row>
    <row r="57" spans="1:18">
      <c r="A57">
        <v>46303030988</v>
      </c>
      <c r="B57" s="40" t="s">
        <v>222</v>
      </c>
      <c r="C57" s="40" t="s">
        <v>347</v>
      </c>
      <c r="D57" s="40" t="s">
        <v>44</v>
      </c>
      <c r="E57" s="41">
        <v>1963</v>
      </c>
      <c r="F57" s="42">
        <v>23073</v>
      </c>
      <c r="G57" s="40">
        <f t="shared" ca="1" si="0"/>
        <v>63</v>
      </c>
      <c r="H57" s="43" t="s">
        <v>137</v>
      </c>
      <c r="I57" s="43" t="s">
        <v>66</v>
      </c>
      <c r="J57" s="43" t="s">
        <v>321</v>
      </c>
      <c r="K57" s="44">
        <v>870</v>
      </c>
      <c r="L57" s="40" t="s">
        <v>234</v>
      </c>
      <c r="M57" s="40" t="s">
        <v>348</v>
      </c>
      <c r="N57" s="46" t="s">
        <v>301</v>
      </c>
      <c r="O57" s="45" t="s">
        <v>219</v>
      </c>
      <c r="P57" t="s">
        <v>178</v>
      </c>
      <c r="Q57" t="s">
        <v>195</v>
      </c>
      <c r="R57" t="s">
        <v>144</v>
      </c>
    </row>
    <row r="58" spans="1:18">
      <c r="A58">
        <v>47403030624</v>
      </c>
      <c r="B58" s="40" t="s">
        <v>349</v>
      </c>
      <c r="C58" s="40" t="s">
        <v>350</v>
      </c>
      <c r="D58" s="40" t="s">
        <v>44</v>
      </c>
      <c r="E58" s="41">
        <v>1974</v>
      </c>
      <c r="F58" s="42">
        <v>27091</v>
      </c>
      <c r="G58" s="40">
        <f t="shared" ca="1" si="0"/>
        <v>52</v>
      </c>
      <c r="H58" s="43" t="s">
        <v>126</v>
      </c>
      <c r="I58" s="43" t="s">
        <v>77</v>
      </c>
      <c r="J58" s="43" t="s">
        <v>321</v>
      </c>
      <c r="K58" s="44">
        <v>1120</v>
      </c>
      <c r="L58" s="40" t="s">
        <v>328</v>
      </c>
      <c r="M58" s="40" t="s">
        <v>351</v>
      </c>
      <c r="N58" s="46" t="s">
        <v>241</v>
      </c>
      <c r="O58" s="45" t="s">
        <v>177</v>
      </c>
      <c r="P58" t="s">
        <v>178</v>
      </c>
      <c r="Q58" t="s">
        <v>195</v>
      </c>
      <c r="R58" t="s">
        <v>144</v>
      </c>
    </row>
    <row r="59" spans="1:18">
      <c r="A59">
        <v>47103260243</v>
      </c>
      <c r="B59" s="40" t="s">
        <v>352</v>
      </c>
      <c r="C59" s="40" t="s">
        <v>353</v>
      </c>
      <c r="D59" s="40" t="s">
        <v>44</v>
      </c>
      <c r="E59" s="41">
        <v>1971</v>
      </c>
      <c r="F59" s="42">
        <v>26018</v>
      </c>
      <c r="G59" s="40">
        <f t="shared" ca="1" si="0"/>
        <v>55</v>
      </c>
      <c r="H59" s="43" t="s">
        <v>147</v>
      </c>
      <c r="I59" s="43" t="s">
        <v>191</v>
      </c>
      <c r="J59" s="43" t="s">
        <v>321</v>
      </c>
      <c r="K59" s="44">
        <v>960</v>
      </c>
      <c r="L59" s="40" t="s">
        <v>309</v>
      </c>
      <c r="M59" s="40" t="s">
        <v>354</v>
      </c>
      <c r="N59" s="46" t="s">
        <v>236</v>
      </c>
      <c r="O59" s="45" t="s">
        <v>177</v>
      </c>
      <c r="P59" t="s">
        <v>151</v>
      </c>
      <c r="Q59" t="s">
        <v>195</v>
      </c>
      <c r="R59" t="s">
        <v>144</v>
      </c>
    </row>
    <row r="60" spans="1:18">
      <c r="A60">
        <v>46003030319</v>
      </c>
      <c r="B60" s="40" t="s">
        <v>355</v>
      </c>
      <c r="C60" s="40" t="s">
        <v>356</v>
      </c>
      <c r="D60" s="40" t="s">
        <v>44</v>
      </c>
      <c r="E60" s="41">
        <v>1960</v>
      </c>
      <c r="F60" s="42">
        <v>21978</v>
      </c>
      <c r="G60" s="40">
        <f t="shared" ca="1" si="0"/>
        <v>66</v>
      </c>
      <c r="H60" s="43" t="s">
        <v>147</v>
      </c>
      <c r="I60" s="43" t="s">
        <v>66</v>
      </c>
      <c r="J60" s="43" t="s">
        <v>321</v>
      </c>
      <c r="K60" s="44">
        <v>960</v>
      </c>
      <c r="L60" s="40" t="s">
        <v>239</v>
      </c>
      <c r="M60" s="40" t="s">
        <v>357</v>
      </c>
      <c r="N60" s="46" t="s">
        <v>162</v>
      </c>
      <c r="O60" s="45" t="s">
        <v>141</v>
      </c>
      <c r="P60" t="s">
        <v>178</v>
      </c>
      <c r="Q60" t="s">
        <v>195</v>
      </c>
      <c r="R60" t="s">
        <v>144</v>
      </c>
    </row>
    <row r="61" spans="1:18">
      <c r="A61">
        <v>48006080465</v>
      </c>
      <c r="B61" s="40" t="s">
        <v>358</v>
      </c>
      <c r="C61" s="40" t="s">
        <v>359</v>
      </c>
      <c r="D61" s="40" t="s">
        <v>44</v>
      </c>
      <c r="E61" s="41">
        <v>1980</v>
      </c>
      <c r="F61" s="42">
        <v>29380</v>
      </c>
      <c r="G61" s="40">
        <f t="shared" ca="1" si="0"/>
        <v>46</v>
      </c>
      <c r="H61" s="43" t="s">
        <v>126</v>
      </c>
      <c r="I61" s="43" t="s">
        <v>66</v>
      </c>
      <c r="J61" s="43" t="s">
        <v>321</v>
      </c>
      <c r="K61" s="44">
        <v>860</v>
      </c>
      <c r="L61" s="40" t="s">
        <v>148</v>
      </c>
      <c r="M61" s="40" t="s">
        <v>360</v>
      </c>
      <c r="N61" s="46" t="s">
        <v>241</v>
      </c>
      <c r="O61" s="45" t="s">
        <v>141</v>
      </c>
      <c r="P61" t="s">
        <v>242</v>
      </c>
      <c r="Q61" t="s">
        <v>243</v>
      </c>
      <c r="R61" t="s">
        <v>244</v>
      </c>
    </row>
    <row r="62" spans="1:18">
      <c r="A62">
        <v>36809340675</v>
      </c>
      <c r="B62" s="40" t="s">
        <v>361</v>
      </c>
      <c r="C62" s="40" t="s">
        <v>362</v>
      </c>
      <c r="D62" s="40" t="s">
        <v>38</v>
      </c>
      <c r="E62" s="41">
        <v>1968</v>
      </c>
      <c r="F62" s="42">
        <v>25115</v>
      </c>
      <c r="G62" s="40">
        <f t="shared" ca="1" si="0"/>
        <v>57</v>
      </c>
      <c r="H62" s="43" t="s">
        <v>147</v>
      </c>
      <c r="I62" s="43" t="s">
        <v>77</v>
      </c>
      <c r="J62" s="43" t="s">
        <v>321</v>
      </c>
      <c r="K62" s="44">
        <v>850</v>
      </c>
      <c r="L62" s="40" t="s">
        <v>160</v>
      </c>
      <c r="M62" s="40" t="s">
        <v>363</v>
      </c>
      <c r="N62" s="46" t="s">
        <v>157</v>
      </c>
      <c r="O62" s="45" t="s">
        <v>131</v>
      </c>
      <c r="P62" t="s">
        <v>206</v>
      </c>
      <c r="Q62" t="s">
        <v>201</v>
      </c>
      <c r="R62" t="s">
        <v>202</v>
      </c>
    </row>
    <row r="63" spans="1:18">
      <c r="A63">
        <v>35204120460</v>
      </c>
      <c r="B63" s="40" t="s">
        <v>364</v>
      </c>
      <c r="C63" s="40" t="s">
        <v>365</v>
      </c>
      <c r="D63" s="40" t="s">
        <v>38</v>
      </c>
      <c r="E63" s="41">
        <v>1952</v>
      </c>
      <c r="F63" s="42">
        <v>19096</v>
      </c>
      <c r="G63" s="40">
        <f t="shared" ca="1" si="0"/>
        <v>74</v>
      </c>
      <c r="H63" s="43" t="s">
        <v>147</v>
      </c>
      <c r="I63" s="46" t="s">
        <v>48</v>
      </c>
      <c r="J63" s="46" t="s">
        <v>366</v>
      </c>
      <c r="K63" s="44">
        <v>1027</v>
      </c>
      <c r="L63" s="40" t="s">
        <v>311</v>
      </c>
      <c r="M63" s="40" t="s">
        <v>286</v>
      </c>
      <c r="N63" s="46" t="s">
        <v>268</v>
      </c>
      <c r="O63" s="45" t="s">
        <v>219</v>
      </c>
      <c r="P63" t="s">
        <v>151</v>
      </c>
      <c r="Q63" t="s">
        <v>143</v>
      </c>
      <c r="R63" t="s">
        <v>144</v>
      </c>
    </row>
    <row r="64" spans="1:18">
      <c r="A64">
        <v>36612210549</v>
      </c>
      <c r="B64" s="40" t="s">
        <v>367</v>
      </c>
      <c r="C64" s="40" t="s">
        <v>368</v>
      </c>
      <c r="D64" s="40" t="s">
        <v>38</v>
      </c>
      <c r="E64" s="41">
        <v>1966</v>
      </c>
      <c r="F64" s="42">
        <v>24462</v>
      </c>
      <c r="G64" s="40">
        <f t="shared" ca="1" si="0"/>
        <v>59</v>
      </c>
      <c r="H64" s="43" t="s">
        <v>147</v>
      </c>
      <c r="I64" s="46" t="s">
        <v>48</v>
      </c>
      <c r="J64" s="46" t="s">
        <v>366</v>
      </c>
      <c r="K64" s="44">
        <v>1150</v>
      </c>
      <c r="L64" s="40" t="s">
        <v>369</v>
      </c>
      <c r="M64" s="40" t="s">
        <v>370</v>
      </c>
      <c r="N64" s="46" t="s">
        <v>268</v>
      </c>
      <c r="O64" s="45" t="s">
        <v>163</v>
      </c>
      <c r="P64" t="s">
        <v>230</v>
      </c>
      <c r="Q64" t="s">
        <v>371</v>
      </c>
      <c r="R64" t="s">
        <v>134</v>
      </c>
    </row>
    <row r="65" spans="1:18">
      <c r="A65">
        <v>38108200347</v>
      </c>
      <c r="B65" s="40" t="s">
        <v>372</v>
      </c>
      <c r="C65" s="40" t="s">
        <v>359</v>
      </c>
      <c r="D65" s="40" t="s">
        <v>38</v>
      </c>
      <c r="E65" s="41">
        <v>1981</v>
      </c>
      <c r="F65" s="42">
        <v>29818</v>
      </c>
      <c r="G65" s="40">
        <f t="shared" ca="1" si="0"/>
        <v>44</v>
      </c>
      <c r="H65" s="43" t="s">
        <v>147</v>
      </c>
      <c r="I65" s="43" t="s">
        <v>48</v>
      </c>
      <c r="J65" s="43" t="s">
        <v>366</v>
      </c>
      <c r="K65" s="44">
        <v>1350</v>
      </c>
      <c r="L65" s="40" t="s">
        <v>175</v>
      </c>
      <c r="M65" s="40" t="s">
        <v>360</v>
      </c>
      <c r="N65" s="46" t="s">
        <v>268</v>
      </c>
      <c r="O65" s="45" t="s">
        <v>141</v>
      </c>
      <c r="P65" t="s">
        <v>255</v>
      </c>
      <c r="Q65" t="s">
        <v>256</v>
      </c>
      <c r="R65" t="s">
        <v>244</v>
      </c>
    </row>
    <row r="66" spans="1:18">
      <c r="A66">
        <v>36506070555</v>
      </c>
      <c r="B66" s="40" t="s">
        <v>373</v>
      </c>
      <c r="C66" s="40" t="s">
        <v>374</v>
      </c>
      <c r="D66" s="40" t="s">
        <v>38</v>
      </c>
      <c r="E66" s="41">
        <v>1965</v>
      </c>
      <c r="F66" s="42">
        <v>23900</v>
      </c>
      <c r="G66" s="40">
        <f t="shared" ca="1" si="0"/>
        <v>61</v>
      </c>
      <c r="H66" s="43" t="s">
        <v>174</v>
      </c>
      <c r="I66" s="46" t="s">
        <v>48</v>
      </c>
      <c r="J66" s="46" t="s">
        <v>41</v>
      </c>
      <c r="K66" s="44">
        <v>720</v>
      </c>
      <c r="L66" s="40" t="s">
        <v>160</v>
      </c>
      <c r="M66" s="40" t="s">
        <v>375</v>
      </c>
      <c r="N66" s="46" t="s">
        <v>283</v>
      </c>
      <c r="O66" s="45" t="s">
        <v>163</v>
      </c>
      <c r="P66" t="s">
        <v>242</v>
      </c>
      <c r="Q66" t="s">
        <v>243</v>
      </c>
      <c r="R66" t="s">
        <v>244</v>
      </c>
    </row>
    <row r="67" spans="1:18">
      <c r="A67">
        <v>37808220891</v>
      </c>
      <c r="B67" s="40" t="s">
        <v>172</v>
      </c>
      <c r="C67" s="40" t="s">
        <v>376</v>
      </c>
      <c r="D67" s="40" t="s">
        <v>38</v>
      </c>
      <c r="E67" s="41">
        <v>1978</v>
      </c>
      <c r="F67" s="42">
        <v>28724</v>
      </c>
      <c r="G67" s="40">
        <f t="shared" ca="1" si="0"/>
        <v>47</v>
      </c>
      <c r="H67" s="43" t="s">
        <v>147</v>
      </c>
      <c r="I67" s="43" t="s">
        <v>48</v>
      </c>
      <c r="J67" s="43" t="s">
        <v>41</v>
      </c>
      <c r="K67" s="44">
        <v>1050</v>
      </c>
      <c r="L67" s="40" t="s">
        <v>239</v>
      </c>
      <c r="M67" s="40" t="s">
        <v>377</v>
      </c>
      <c r="N67" s="46" t="s">
        <v>150</v>
      </c>
      <c r="O67" s="45" t="s">
        <v>141</v>
      </c>
      <c r="P67" t="s">
        <v>255</v>
      </c>
      <c r="Q67" t="s">
        <v>256</v>
      </c>
      <c r="R67" t="s">
        <v>244</v>
      </c>
    </row>
    <row r="68" spans="1:18">
      <c r="A68">
        <v>39101130124</v>
      </c>
      <c r="B68" s="40" t="s">
        <v>279</v>
      </c>
      <c r="C68" s="40" t="s">
        <v>165</v>
      </c>
      <c r="D68" s="40" t="s">
        <v>38</v>
      </c>
      <c r="E68" s="41">
        <v>1991</v>
      </c>
      <c r="F68" s="42">
        <v>33251</v>
      </c>
      <c r="G68" s="40">
        <f t="shared" ca="1" si="0"/>
        <v>35</v>
      </c>
      <c r="H68" s="43" t="s">
        <v>126</v>
      </c>
      <c r="I68" s="43" t="s">
        <v>54</v>
      </c>
      <c r="J68" s="43" t="s">
        <v>41</v>
      </c>
      <c r="K68" s="44">
        <v>760</v>
      </c>
      <c r="L68" s="40" t="s">
        <v>378</v>
      </c>
      <c r="M68" s="40" t="s">
        <v>379</v>
      </c>
      <c r="N68" s="46" t="s">
        <v>301</v>
      </c>
      <c r="O68" s="45" t="s">
        <v>141</v>
      </c>
      <c r="P68" t="s">
        <v>249</v>
      </c>
      <c r="Q68" t="s">
        <v>250</v>
      </c>
      <c r="R68" t="s">
        <v>134</v>
      </c>
    </row>
    <row r="69" spans="1:18">
      <c r="A69">
        <v>35909140289</v>
      </c>
      <c r="B69" s="40" t="s">
        <v>380</v>
      </c>
      <c r="C69" s="40" t="s">
        <v>165</v>
      </c>
      <c r="D69" s="40" t="s">
        <v>38</v>
      </c>
      <c r="E69" s="41">
        <v>1959</v>
      </c>
      <c r="F69" s="42">
        <v>21807</v>
      </c>
      <c r="G69" s="40">
        <f t="shared" ca="1" si="0"/>
        <v>66</v>
      </c>
      <c r="H69" s="43" t="s">
        <v>209</v>
      </c>
      <c r="I69" s="46" t="s">
        <v>48</v>
      </c>
      <c r="J69" s="46" t="s">
        <v>41</v>
      </c>
      <c r="K69" s="44">
        <v>870</v>
      </c>
      <c r="L69" s="40" t="s">
        <v>187</v>
      </c>
      <c r="M69" s="40" t="s">
        <v>381</v>
      </c>
      <c r="N69" s="46" t="s">
        <v>241</v>
      </c>
      <c r="O69" s="45" t="s">
        <v>163</v>
      </c>
      <c r="P69" t="s">
        <v>220</v>
      </c>
      <c r="Q69" t="s">
        <v>221</v>
      </c>
      <c r="R69" t="s">
        <v>202</v>
      </c>
    </row>
    <row r="70" spans="1:18">
      <c r="A70">
        <v>60206070961</v>
      </c>
      <c r="B70" s="40" t="s">
        <v>382</v>
      </c>
      <c r="C70" s="40" t="s">
        <v>324</v>
      </c>
      <c r="D70" s="40" t="s">
        <v>44</v>
      </c>
      <c r="E70" s="41">
        <v>2002</v>
      </c>
      <c r="F70" s="42">
        <v>37414</v>
      </c>
      <c r="G70" s="40">
        <f t="shared" ca="1" si="0"/>
        <v>24</v>
      </c>
      <c r="H70" s="43" t="s">
        <v>137</v>
      </c>
      <c r="I70" s="43" t="s">
        <v>48</v>
      </c>
      <c r="J70" s="43" t="s">
        <v>41</v>
      </c>
      <c r="K70" s="44">
        <v>830</v>
      </c>
      <c r="L70" s="40" t="s">
        <v>383</v>
      </c>
      <c r="M70" s="40" t="s">
        <v>384</v>
      </c>
      <c r="N70" s="46" t="s">
        <v>283</v>
      </c>
      <c r="O70" s="45" t="s">
        <v>163</v>
      </c>
      <c r="P70" t="s">
        <v>242</v>
      </c>
      <c r="Q70" t="s">
        <v>243</v>
      </c>
      <c r="R70" t="s">
        <v>244</v>
      </c>
    </row>
    <row r="71" spans="1:18">
      <c r="A71">
        <v>48205090295</v>
      </c>
      <c r="B71" s="40" t="s">
        <v>251</v>
      </c>
      <c r="C71" s="40" t="s">
        <v>385</v>
      </c>
      <c r="D71" s="40" t="s">
        <v>44</v>
      </c>
      <c r="E71" s="41">
        <v>1982</v>
      </c>
      <c r="F71" s="42">
        <v>30080</v>
      </c>
      <c r="G71" s="40">
        <f t="shared" ca="1" si="0"/>
        <v>44</v>
      </c>
      <c r="H71" s="43" t="s">
        <v>147</v>
      </c>
      <c r="I71" s="43" t="s">
        <v>48</v>
      </c>
      <c r="J71" s="43" t="s">
        <v>41</v>
      </c>
      <c r="K71" s="44">
        <v>1120</v>
      </c>
      <c r="L71" s="40" t="s">
        <v>309</v>
      </c>
      <c r="M71" s="40" t="s">
        <v>386</v>
      </c>
      <c r="N71" s="46" t="s">
        <v>301</v>
      </c>
      <c r="O71" s="45" t="s">
        <v>177</v>
      </c>
      <c r="P71" t="s">
        <v>142</v>
      </c>
      <c r="Q71" t="s">
        <v>171</v>
      </c>
      <c r="R71" t="s">
        <v>144</v>
      </c>
    </row>
    <row r="72" spans="1:18">
      <c r="A72">
        <v>48105180669</v>
      </c>
      <c r="B72" s="40" t="s">
        <v>387</v>
      </c>
      <c r="C72" s="40" t="s">
        <v>18</v>
      </c>
      <c r="D72" s="40" t="s">
        <v>44</v>
      </c>
      <c r="E72" s="41">
        <v>1981</v>
      </c>
      <c r="F72" s="42">
        <v>29724</v>
      </c>
      <c r="G72" s="40">
        <f t="shared" ca="1" si="0"/>
        <v>45</v>
      </c>
      <c r="H72" s="43" t="s">
        <v>174</v>
      </c>
      <c r="I72" s="43" t="s">
        <v>48</v>
      </c>
      <c r="J72" s="43" t="s">
        <v>41</v>
      </c>
      <c r="K72" s="44">
        <v>960</v>
      </c>
      <c r="L72" s="40" t="s">
        <v>239</v>
      </c>
      <c r="M72" s="40" t="s">
        <v>388</v>
      </c>
      <c r="N72" s="46" t="s">
        <v>294</v>
      </c>
      <c r="O72" s="45" t="s">
        <v>177</v>
      </c>
      <c r="P72" t="s">
        <v>142</v>
      </c>
      <c r="Q72" t="s">
        <v>171</v>
      </c>
      <c r="R72" t="s">
        <v>144</v>
      </c>
    </row>
    <row r="73" spans="1:18">
      <c r="A73">
        <v>60209190988</v>
      </c>
      <c r="B73" s="40" t="s">
        <v>389</v>
      </c>
      <c r="C73" s="40" t="s">
        <v>390</v>
      </c>
      <c r="D73" s="40" t="s">
        <v>44</v>
      </c>
      <c r="E73" s="41">
        <v>2002</v>
      </c>
      <c r="F73" s="42">
        <v>37518</v>
      </c>
      <c r="G73" s="40">
        <f t="shared" ref="G73:G93" ca="1" si="1">INT((TODAY()-F73)/365.25)</f>
        <v>23</v>
      </c>
      <c r="H73" s="43" t="s">
        <v>137</v>
      </c>
      <c r="I73" s="43" t="s">
        <v>54</v>
      </c>
      <c r="J73" s="43" t="s">
        <v>41</v>
      </c>
      <c r="K73" s="44">
        <v>770</v>
      </c>
      <c r="L73" s="40" t="s">
        <v>128</v>
      </c>
      <c r="M73" s="40" t="s">
        <v>391</v>
      </c>
      <c r="N73" s="46" t="s">
        <v>162</v>
      </c>
      <c r="O73" s="45" t="s">
        <v>177</v>
      </c>
      <c r="P73" t="s">
        <v>220</v>
      </c>
      <c r="Q73" t="s">
        <v>221</v>
      </c>
      <c r="R73" t="s">
        <v>202</v>
      </c>
    </row>
    <row r="74" spans="1:18">
      <c r="A74">
        <v>47712170754</v>
      </c>
      <c r="B74" s="40" t="s">
        <v>329</v>
      </c>
      <c r="C74" s="40" t="s">
        <v>392</v>
      </c>
      <c r="D74" s="40" t="s">
        <v>44</v>
      </c>
      <c r="E74" s="41">
        <v>1977</v>
      </c>
      <c r="F74" s="42">
        <v>28476</v>
      </c>
      <c r="G74" s="40">
        <f t="shared" ca="1" si="1"/>
        <v>48</v>
      </c>
      <c r="H74" s="43" t="s">
        <v>126</v>
      </c>
      <c r="I74" s="43" t="s">
        <v>48</v>
      </c>
      <c r="J74" s="43" t="s">
        <v>41</v>
      </c>
      <c r="K74" s="44">
        <v>850</v>
      </c>
      <c r="L74" s="40" t="s">
        <v>160</v>
      </c>
      <c r="M74" s="40" t="s">
        <v>393</v>
      </c>
      <c r="N74" s="46" t="s">
        <v>241</v>
      </c>
      <c r="O74" s="45" t="s">
        <v>163</v>
      </c>
      <c r="P74" t="s">
        <v>230</v>
      </c>
      <c r="Q74" t="s">
        <v>371</v>
      </c>
      <c r="R74" t="s">
        <v>134</v>
      </c>
    </row>
    <row r="75" spans="1:18">
      <c r="A75">
        <v>37408230939</v>
      </c>
      <c r="B75" s="40" t="s">
        <v>394</v>
      </c>
      <c r="C75" s="40" t="s">
        <v>395</v>
      </c>
      <c r="D75" s="40" t="s">
        <v>38</v>
      </c>
      <c r="E75" s="41">
        <v>1974</v>
      </c>
      <c r="F75" s="42">
        <v>27264</v>
      </c>
      <c r="G75" s="40">
        <f t="shared" ca="1" si="1"/>
        <v>51</v>
      </c>
      <c r="H75" s="43" t="s">
        <v>209</v>
      </c>
      <c r="I75" s="46" t="s">
        <v>48</v>
      </c>
      <c r="J75" s="46" t="s">
        <v>41</v>
      </c>
      <c r="K75" s="44">
        <v>1030</v>
      </c>
      <c r="L75" s="40" t="s">
        <v>328</v>
      </c>
      <c r="M75" s="40" t="s">
        <v>396</v>
      </c>
      <c r="N75" s="46" t="s">
        <v>169</v>
      </c>
      <c r="O75" s="45" t="s">
        <v>183</v>
      </c>
      <c r="P75" t="s">
        <v>255</v>
      </c>
      <c r="Q75" t="s">
        <v>256</v>
      </c>
      <c r="R75" t="s">
        <v>244</v>
      </c>
    </row>
    <row r="76" spans="1:18">
      <c r="A76">
        <v>47608150058</v>
      </c>
      <c r="B76" s="40" t="s">
        <v>397</v>
      </c>
      <c r="C76" s="40" t="s">
        <v>398</v>
      </c>
      <c r="D76" s="40" t="s">
        <v>44</v>
      </c>
      <c r="E76" s="41">
        <v>1976</v>
      </c>
      <c r="F76" s="42">
        <v>27987</v>
      </c>
      <c r="G76" s="40">
        <f t="shared" ca="1" si="1"/>
        <v>49</v>
      </c>
      <c r="H76" s="43" t="s">
        <v>147</v>
      </c>
      <c r="I76" s="43" t="s">
        <v>48</v>
      </c>
      <c r="J76" s="43" t="s">
        <v>41</v>
      </c>
      <c r="K76" s="44">
        <v>970</v>
      </c>
      <c r="L76" s="40" t="s">
        <v>369</v>
      </c>
      <c r="M76" s="40" t="s">
        <v>399</v>
      </c>
      <c r="N76" s="46" t="s">
        <v>218</v>
      </c>
      <c r="O76" s="45" t="s">
        <v>131</v>
      </c>
      <c r="P76" t="s">
        <v>255</v>
      </c>
      <c r="Q76" t="s">
        <v>256</v>
      </c>
      <c r="R76" t="s">
        <v>244</v>
      </c>
    </row>
    <row r="77" spans="1:18">
      <c r="A77">
        <v>34304170615</v>
      </c>
      <c r="B77" s="40" t="s">
        <v>400</v>
      </c>
      <c r="C77" s="40" t="s">
        <v>401</v>
      </c>
      <c r="D77" s="40" t="s">
        <v>38</v>
      </c>
      <c r="E77" s="41">
        <v>1943</v>
      </c>
      <c r="F77" s="42">
        <v>15813</v>
      </c>
      <c r="G77" s="40">
        <f t="shared" ca="1" si="1"/>
        <v>83</v>
      </c>
      <c r="H77" s="43" t="s">
        <v>147</v>
      </c>
      <c r="I77" s="43" t="s">
        <v>48</v>
      </c>
      <c r="J77" s="43" t="s">
        <v>41</v>
      </c>
      <c r="K77" s="44">
        <v>760</v>
      </c>
      <c r="L77" s="40" t="s">
        <v>328</v>
      </c>
      <c r="M77" s="40" t="s">
        <v>402</v>
      </c>
      <c r="N77" s="46" t="s">
        <v>140</v>
      </c>
      <c r="O77" s="45" t="s">
        <v>141</v>
      </c>
      <c r="P77" t="s">
        <v>151</v>
      </c>
      <c r="Q77" t="s">
        <v>143</v>
      </c>
      <c r="R77" t="s">
        <v>144</v>
      </c>
    </row>
    <row r="78" spans="1:18">
      <c r="A78">
        <v>35810100356</v>
      </c>
      <c r="B78" s="40" t="s">
        <v>403</v>
      </c>
      <c r="C78" s="40" t="s">
        <v>404</v>
      </c>
      <c r="D78" s="40" t="s">
        <v>38</v>
      </c>
      <c r="E78" s="41">
        <v>1958</v>
      </c>
      <c r="F78" s="42">
        <v>21468</v>
      </c>
      <c r="G78" s="40">
        <f t="shared" ca="1" si="1"/>
        <v>67</v>
      </c>
      <c r="H78" s="43" t="s">
        <v>147</v>
      </c>
      <c r="I78" s="43" t="s">
        <v>48</v>
      </c>
      <c r="J78" s="43" t="s">
        <v>41</v>
      </c>
      <c r="K78" s="44">
        <v>1080</v>
      </c>
      <c r="L78" s="40" t="s">
        <v>405</v>
      </c>
      <c r="M78" s="40" t="s">
        <v>406</v>
      </c>
      <c r="N78" s="46" t="s">
        <v>236</v>
      </c>
      <c r="O78" s="45" t="s">
        <v>141</v>
      </c>
      <c r="P78" t="s">
        <v>206</v>
      </c>
      <c r="Q78" t="s">
        <v>201</v>
      </c>
      <c r="R78" t="s">
        <v>202</v>
      </c>
    </row>
    <row r="79" spans="1:18">
      <c r="A79">
        <v>36002200391</v>
      </c>
      <c r="B79" s="40" t="s">
        <v>145</v>
      </c>
      <c r="C79" s="40" t="s">
        <v>404</v>
      </c>
      <c r="D79" s="40" t="s">
        <v>38</v>
      </c>
      <c r="E79" s="41">
        <v>1960</v>
      </c>
      <c r="F79" s="42">
        <v>21966</v>
      </c>
      <c r="G79" s="40">
        <f t="shared" ca="1" si="1"/>
        <v>66</v>
      </c>
      <c r="H79" s="43" t="s">
        <v>147</v>
      </c>
      <c r="I79" s="43" t="s">
        <v>48</v>
      </c>
      <c r="J79" s="43" t="s">
        <v>41</v>
      </c>
      <c r="K79" s="44">
        <v>1070</v>
      </c>
      <c r="L79" s="40" t="s">
        <v>303</v>
      </c>
      <c r="M79" s="40" t="s">
        <v>407</v>
      </c>
      <c r="N79" s="46" t="s">
        <v>301</v>
      </c>
      <c r="O79" s="45" t="s">
        <v>141</v>
      </c>
      <c r="P79" t="s">
        <v>178</v>
      </c>
      <c r="Q79" t="s">
        <v>133</v>
      </c>
      <c r="R79" t="s">
        <v>134</v>
      </c>
    </row>
    <row r="80" spans="1:18">
      <c r="A80">
        <v>46407080393</v>
      </c>
      <c r="B80" s="40" t="s">
        <v>184</v>
      </c>
      <c r="C80" s="40" t="s">
        <v>408</v>
      </c>
      <c r="D80" s="40" t="s">
        <v>44</v>
      </c>
      <c r="E80" s="41">
        <v>1964</v>
      </c>
      <c r="F80" s="42">
        <v>23566</v>
      </c>
      <c r="G80" s="40">
        <f t="shared" ca="1" si="1"/>
        <v>62</v>
      </c>
      <c r="H80" s="43" t="s">
        <v>147</v>
      </c>
      <c r="I80" s="43" t="s">
        <v>54</v>
      </c>
      <c r="J80" s="43" t="s">
        <v>41</v>
      </c>
      <c r="K80" s="44">
        <v>750</v>
      </c>
      <c r="L80" s="40" t="s">
        <v>409</v>
      </c>
      <c r="M80" s="40" t="s">
        <v>396</v>
      </c>
      <c r="N80" s="46" t="s">
        <v>294</v>
      </c>
      <c r="O80" s="45" t="s">
        <v>177</v>
      </c>
      <c r="P80" t="s">
        <v>270</v>
      </c>
      <c r="Q80" t="s">
        <v>271</v>
      </c>
      <c r="R80" t="s">
        <v>244</v>
      </c>
    </row>
    <row r="81" spans="1:18">
      <c r="A81">
        <v>37705040659</v>
      </c>
      <c r="B81" s="40" t="s">
        <v>172</v>
      </c>
      <c r="C81" s="40" t="s">
        <v>410</v>
      </c>
      <c r="D81" s="40" t="s">
        <v>38</v>
      </c>
      <c r="E81" s="41">
        <v>1977</v>
      </c>
      <c r="F81" s="42">
        <v>28249</v>
      </c>
      <c r="G81" s="40">
        <f t="shared" ca="1" si="1"/>
        <v>49</v>
      </c>
      <c r="H81" s="43" t="s">
        <v>147</v>
      </c>
      <c r="I81" s="43" t="s">
        <v>54</v>
      </c>
      <c r="J81" s="43" t="s">
        <v>41</v>
      </c>
      <c r="K81" s="44">
        <v>960</v>
      </c>
      <c r="L81" s="40" t="s">
        <v>378</v>
      </c>
      <c r="M81" s="40" t="s">
        <v>411</v>
      </c>
      <c r="N81" s="46" t="s">
        <v>236</v>
      </c>
      <c r="O81" s="45" t="s">
        <v>163</v>
      </c>
      <c r="P81" t="s">
        <v>142</v>
      </c>
      <c r="Q81" t="s">
        <v>171</v>
      </c>
      <c r="R81" t="s">
        <v>144</v>
      </c>
    </row>
    <row r="82" spans="1:18">
      <c r="A82">
        <v>34112150956</v>
      </c>
      <c r="B82" s="40" t="s">
        <v>172</v>
      </c>
      <c r="C82" s="40" t="s">
        <v>412</v>
      </c>
      <c r="D82" s="40" t="s">
        <v>38</v>
      </c>
      <c r="E82" s="41">
        <v>1941</v>
      </c>
      <c r="F82" s="42">
        <v>15325</v>
      </c>
      <c r="G82" s="40">
        <f t="shared" ca="1" si="1"/>
        <v>84</v>
      </c>
      <c r="H82" s="43" t="s">
        <v>174</v>
      </c>
      <c r="I82" s="43" t="s">
        <v>48</v>
      </c>
      <c r="J82" s="43" t="s">
        <v>41</v>
      </c>
      <c r="K82" s="44">
        <v>1190</v>
      </c>
      <c r="L82" s="40" t="s">
        <v>309</v>
      </c>
      <c r="M82" s="40" t="s">
        <v>413</v>
      </c>
      <c r="N82" s="46" t="s">
        <v>236</v>
      </c>
      <c r="O82" s="45" t="s">
        <v>177</v>
      </c>
      <c r="P82" t="s">
        <v>230</v>
      </c>
      <c r="Q82" t="s">
        <v>371</v>
      </c>
      <c r="R82" t="s">
        <v>134</v>
      </c>
    </row>
    <row r="83" spans="1:18">
      <c r="A83">
        <v>38204220473</v>
      </c>
      <c r="B83" s="40" t="s">
        <v>257</v>
      </c>
      <c r="C83" s="40" t="s">
        <v>414</v>
      </c>
      <c r="D83" s="40" t="s">
        <v>38</v>
      </c>
      <c r="E83" s="41">
        <v>1982</v>
      </c>
      <c r="F83" s="42">
        <v>30063</v>
      </c>
      <c r="G83" s="40">
        <f t="shared" ca="1" si="1"/>
        <v>44</v>
      </c>
      <c r="H83" s="43" t="s">
        <v>137</v>
      </c>
      <c r="I83" s="43" t="s">
        <v>48</v>
      </c>
      <c r="J83" s="43" t="s">
        <v>41</v>
      </c>
      <c r="K83" s="44">
        <v>1070</v>
      </c>
      <c r="L83" s="40" t="s">
        <v>216</v>
      </c>
      <c r="M83" s="40" t="s">
        <v>415</v>
      </c>
      <c r="N83" s="46" t="s">
        <v>182</v>
      </c>
      <c r="O83" s="45" t="s">
        <v>163</v>
      </c>
      <c r="P83" t="s">
        <v>142</v>
      </c>
      <c r="Q83" t="s">
        <v>143</v>
      </c>
      <c r="R83" t="s">
        <v>144</v>
      </c>
    </row>
    <row r="84" spans="1:18">
      <c r="A84">
        <v>37211200348</v>
      </c>
      <c r="B84" s="40" t="s">
        <v>212</v>
      </c>
      <c r="C84" s="40" t="s">
        <v>414</v>
      </c>
      <c r="D84" s="40" t="s">
        <v>38</v>
      </c>
      <c r="E84" s="41">
        <v>1972</v>
      </c>
      <c r="F84" s="42">
        <v>26623</v>
      </c>
      <c r="G84" s="40">
        <f t="shared" ca="1" si="1"/>
        <v>53</v>
      </c>
      <c r="H84" s="43" t="s">
        <v>147</v>
      </c>
      <c r="I84" s="43" t="s">
        <v>48</v>
      </c>
      <c r="J84" s="43" t="s">
        <v>41</v>
      </c>
      <c r="K84" s="44">
        <v>930</v>
      </c>
      <c r="L84" s="40" t="s">
        <v>160</v>
      </c>
      <c r="M84" s="40" t="s">
        <v>416</v>
      </c>
      <c r="N84" s="46" t="s">
        <v>236</v>
      </c>
      <c r="O84" s="45" t="s">
        <v>177</v>
      </c>
      <c r="P84" t="s">
        <v>200</v>
      </c>
      <c r="Q84" t="s">
        <v>226</v>
      </c>
      <c r="R84" t="s">
        <v>202</v>
      </c>
    </row>
    <row r="85" spans="1:18">
      <c r="A85">
        <v>34910190405</v>
      </c>
      <c r="B85" s="40" t="s">
        <v>337</v>
      </c>
      <c r="C85" s="40" t="s">
        <v>417</v>
      </c>
      <c r="D85" s="40" t="s">
        <v>38</v>
      </c>
      <c r="E85" s="41">
        <v>1949</v>
      </c>
      <c r="F85" s="42">
        <v>18190</v>
      </c>
      <c r="G85" s="40">
        <f t="shared" ca="1" si="1"/>
        <v>76</v>
      </c>
      <c r="H85" s="43" t="s">
        <v>174</v>
      </c>
      <c r="I85" s="43" t="s">
        <v>48</v>
      </c>
      <c r="J85" s="43" t="s">
        <v>41</v>
      </c>
      <c r="K85" s="44">
        <v>1140</v>
      </c>
      <c r="L85" s="40" t="s">
        <v>247</v>
      </c>
      <c r="M85" s="40" t="s">
        <v>418</v>
      </c>
      <c r="N85" s="46" t="s">
        <v>301</v>
      </c>
      <c r="O85" s="45" t="s">
        <v>177</v>
      </c>
      <c r="P85" t="s">
        <v>206</v>
      </c>
      <c r="Q85" t="s">
        <v>201</v>
      </c>
      <c r="R85" t="s">
        <v>202</v>
      </c>
    </row>
    <row r="86" spans="1:18">
      <c r="A86">
        <v>44915280456</v>
      </c>
      <c r="B86" s="40" t="s">
        <v>419</v>
      </c>
      <c r="C86" s="40" t="s">
        <v>420</v>
      </c>
      <c r="D86" s="40" t="s">
        <v>44</v>
      </c>
      <c r="E86" s="41">
        <v>1949</v>
      </c>
      <c r="F86" s="42">
        <v>18350</v>
      </c>
      <c r="G86" s="40">
        <f t="shared" ca="1" si="1"/>
        <v>76</v>
      </c>
      <c r="H86" s="43" t="s">
        <v>147</v>
      </c>
      <c r="I86" s="43" t="s">
        <v>54</v>
      </c>
      <c r="J86" s="43" t="s">
        <v>41</v>
      </c>
      <c r="K86" s="44">
        <v>1070</v>
      </c>
      <c r="L86" s="40" t="s">
        <v>303</v>
      </c>
      <c r="M86" s="40" t="s">
        <v>421</v>
      </c>
      <c r="N86" s="46" t="s">
        <v>157</v>
      </c>
      <c r="O86" s="45" t="s">
        <v>163</v>
      </c>
      <c r="P86" t="s">
        <v>151</v>
      </c>
      <c r="Q86" t="s">
        <v>195</v>
      </c>
      <c r="R86" t="s">
        <v>144</v>
      </c>
    </row>
    <row r="87" spans="1:18">
      <c r="A87">
        <v>50105220288</v>
      </c>
      <c r="B87" s="40" t="s">
        <v>403</v>
      </c>
      <c r="C87" s="40" t="s">
        <v>422</v>
      </c>
      <c r="D87" s="40" t="s">
        <v>38</v>
      </c>
      <c r="E87" s="41">
        <v>2001</v>
      </c>
      <c r="F87" s="42">
        <v>37033</v>
      </c>
      <c r="G87" s="40">
        <f t="shared" ca="1" si="1"/>
        <v>25</v>
      </c>
      <c r="H87" s="43" t="s">
        <v>137</v>
      </c>
      <c r="I87" s="43" t="s">
        <v>48</v>
      </c>
      <c r="J87" s="43" t="s">
        <v>41</v>
      </c>
      <c r="K87" s="44">
        <v>700</v>
      </c>
      <c r="L87" s="40" t="s">
        <v>187</v>
      </c>
      <c r="M87" s="40" t="s">
        <v>423</v>
      </c>
      <c r="N87" s="46" t="s">
        <v>140</v>
      </c>
      <c r="O87" s="45" t="s">
        <v>219</v>
      </c>
      <c r="P87" t="s">
        <v>242</v>
      </c>
      <c r="Q87" t="s">
        <v>171</v>
      </c>
      <c r="R87" t="s">
        <v>144</v>
      </c>
    </row>
    <row r="88" spans="1:18">
      <c r="A88">
        <v>37106180544</v>
      </c>
      <c r="B88" s="40" t="s">
        <v>389</v>
      </c>
      <c r="C88" s="40" t="s">
        <v>424</v>
      </c>
      <c r="D88" s="40" t="s">
        <v>38</v>
      </c>
      <c r="E88" s="41">
        <v>1971</v>
      </c>
      <c r="F88" s="42">
        <v>26102</v>
      </c>
      <c r="G88" s="40">
        <f t="shared" ca="1" si="1"/>
        <v>55</v>
      </c>
      <c r="H88" s="43" t="s">
        <v>174</v>
      </c>
      <c r="I88" s="43" t="s">
        <v>48</v>
      </c>
      <c r="J88" s="43" t="s">
        <v>41</v>
      </c>
      <c r="K88" s="44">
        <v>860</v>
      </c>
      <c r="L88" s="40" t="s">
        <v>405</v>
      </c>
      <c r="M88" s="40" t="s">
        <v>425</v>
      </c>
      <c r="N88" s="46" t="s">
        <v>218</v>
      </c>
      <c r="O88" s="45" t="s">
        <v>163</v>
      </c>
      <c r="P88" t="s">
        <v>242</v>
      </c>
      <c r="Q88" t="s">
        <v>243</v>
      </c>
      <c r="R88" t="s">
        <v>244</v>
      </c>
    </row>
    <row r="89" spans="1:18">
      <c r="A89">
        <v>60101210234</v>
      </c>
      <c r="B89" s="40" t="s">
        <v>203</v>
      </c>
      <c r="C89" s="40" t="s">
        <v>426</v>
      </c>
      <c r="D89" s="40" t="s">
        <v>44</v>
      </c>
      <c r="E89" s="41">
        <v>2001</v>
      </c>
      <c r="F89" s="42">
        <v>36912</v>
      </c>
      <c r="G89" s="40">
        <f t="shared" ca="1" si="1"/>
        <v>25</v>
      </c>
      <c r="H89" s="43" t="s">
        <v>137</v>
      </c>
      <c r="I89" s="43" t="s">
        <v>48</v>
      </c>
      <c r="J89" s="43" t="s">
        <v>41</v>
      </c>
      <c r="K89" s="44">
        <v>680</v>
      </c>
      <c r="L89" s="40" t="s">
        <v>148</v>
      </c>
      <c r="M89" s="40" t="s">
        <v>427</v>
      </c>
      <c r="N89" s="46" t="s">
        <v>236</v>
      </c>
      <c r="O89" s="45" t="s">
        <v>177</v>
      </c>
      <c r="P89" t="s">
        <v>132</v>
      </c>
      <c r="Q89" t="s">
        <v>250</v>
      </c>
      <c r="R89" t="s">
        <v>134</v>
      </c>
    </row>
    <row r="90" spans="1:18">
      <c r="A90">
        <v>35309010485</v>
      </c>
      <c r="B90" s="40" t="s">
        <v>428</v>
      </c>
      <c r="C90" s="40" t="s">
        <v>429</v>
      </c>
      <c r="D90" s="40" t="s">
        <v>38</v>
      </c>
      <c r="E90" s="41">
        <v>1953</v>
      </c>
      <c r="F90" s="42">
        <v>19603</v>
      </c>
      <c r="G90" s="40">
        <f t="shared" ca="1" si="1"/>
        <v>72</v>
      </c>
      <c r="H90" s="43" t="s">
        <v>209</v>
      </c>
      <c r="I90" s="43" t="s">
        <v>48</v>
      </c>
      <c r="J90" s="43" t="s">
        <v>41</v>
      </c>
      <c r="K90" s="44">
        <v>1160</v>
      </c>
      <c r="L90" s="40" t="s">
        <v>128</v>
      </c>
      <c r="M90" s="40" t="s">
        <v>430</v>
      </c>
      <c r="N90" s="46" t="s">
        <v>169</v>
      </c>
      <c r="O90" s="45" t="s">
        <v>163</v>
      </c>
      <c r="P90" t="s">
        <v>220</v>
      </c>
      <c r="Q90" t="s">
        <v>221</v>
      </c>
      <c r="R90" t="s">
        <v>202</v>
      </c>
    </row>
    <row r="91" spans="1:18">
      <c r="A91">
        <v>36001350084</v>
      </c>
      <c r="B91" s="40" t="s">
        <v>431</v>
      </c>
      <c r="C91" s="40" t="s">
        <v>429</v>
      </c>
      <c r="D91" s="40" t="s">
        <v>38</v>
      </c>
      <c r="E91" s="41">
        <v>1960</v>
      </c>
      <c r="F91" s="42">
        <v>21950</v>
      </c>
      <c r="G91" s="40">
        <f t="shared" ca="1" si="1"/>
        <v>66</v>
      </c>
      <c r="H91" s="43" t="s">
        <v>147</v>
      </c>
      <c r="I91" s="43" t="s">
        <v>48</v>
      </c>
      <c r="J91" s="43" t="s">
        <v>41</v>
      </c>
      <c r="K91" s="44">
        <v>1160</v>
      </c>
      <c r="L91" s="40" t="s">
        <v>311</v>
      </c>
      <c r="M91" s="40" t="s">
        <v>432</v>
      </c>
      <c r="N91" s="46" t="s">
        <v>301</v>
      </c>
      <c r="O91" s="45" t="s">
        <v>163</v>
      </c>
      <c r="P91" t="s">
        <v>132</v>
      </c>
      <c r="Q91" t="s">
        <v>133</v>
      </c>
      <c r="R91" t="s">
        <v>134</v>
      </c>
    </row>
    <row r="92" spans="1:18">
      <c r="A92">
        <v>35412110930</v>
      </c>
      <c r="B92" s="40" t="s">
        <v>433</v>
      </c>
      <c r="C92" s="40" t="s">
        <v>434</v>
      </c>
      <c r="D92" s="40" t="s">
        <v>38</v>
      </c>
      <c r="E92" s="41">
        <v>1954</v>
      </c>
      <c r="F92" s="42">
        <v>20069</v>
      </c>
      <c r="G92" s="40">
        <f t="shared" ca="1" si="1"/>
        <v>71</v>
      </c>
      <c r="H92" s="43" t="s">
        <v>126</v>
      </c>
      <c r="I92" s="43" t="s">
        <v>48</v>
      </c>
      <c r="J92" s="43" t="s">
        <v>41</v>
      </c>
      <c r="K92" s="44">
        <v>870</v>
      </c>
      <c r="L92" s="40" t="s">
        <v>160</v>
      </c>
      <c r="M92" s="40" t="s">
        <v>435</v>
      </c>
      <c r="N92" s="46" t="s">
        <v>162</v>
      </c>
      <c r="O92" s="45" t="s">
        <v>177</v>
      </c>
      <c r="P92" t="s">
        <v>230</v>
      </c>
      <c r="Q92" t="s">
        <v>371</v>
      </c>
      <c r="R92" t="s">
        <v>134</v>
      </c>
    </row>
    <row r="93" spans="1:18">
      <c r="A93">
        <v>39604060863</v>
      </c>
      <c r="B93" s="40" t="s">
        <v>251</v>
      </c>
      <c r="C93" s="40" t="s">
        <v>436</v>
      </c>
      <c r="D93" s="40" t="s">
        <v>38</v>
      </c>
      <c r="E93" s="41">
        <v>1996</v>
      </c>
      <c r="F93" s="42">
        <v>35161</v>
      </c>
      <c r="G93" s="40">
        <f t="shared" ca="1" si="1"/>
        <v>30</v>
      </c>
      <c r="H93" s="43" t="s">
        <v>209</v>
      </c>
      <c r="I93" s="43" t="s">
        <v>63</v>
      </c>
      <c r="J93" s="43" t="s">
        <v>437</v>
      </c>
      <c r="K93" s="44">
        <v>670</v>
      </c>
      <c r="L93" s="40" t="s">
        <v>409</v>
      </c>
      <c r="M93" s="40" t="s">
        <v>438</v>
      </c>
      <c r="N93" s="46" t="s">
        <v>169</v>
      </c>
      <c r="O93" s="45" t="s">
        <v>131</v>
      </c>
      <c r="P93" t="s">
        <v>151</v>
      </c>
      <c r="Q93" t="s">
        <v>143</v>
      </c>
      <c r="R93" t="s">
        <v>144</v>
      </c>
    </row>
  </sheetData>
  <dataValidations count="1">
    <dataValidation type="decimal" operator="equal" allowBlank="1" showInputMessage="1" showErrorMessage="1" sqref="A1 B1:B2" xr:uid="{AA91FC7D-12FC-4DB0-8A85-B1D59031808D}">
      <formula1>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Kuupaevad</vt:lpstr>
      <vt:lpstr>Andmed</vt:lpstr>
      <vt:lpstr>Tabelid</vt:lpstr>
      <vt:lpstr>Paring</vt:lpstr>
      <vt:lpstr>Inimesed</vt:lpstr>
      <vt:lpstr>Aasta</vt:lpstr>
      <vt:lpstr>algus</vt:lpstr>
      <vt:lpstr>arvud</vt:lpstr>
      <vt:lpstr>Paring!Criteria</vt:lpstr>
      <vt:lpstr>Paring!Extract</vt:lpstr>
      <vt:lpstr>tab_algne</vt:lpstr>
      <vt:lpstr>Tabel_B</vt:lpstr>
      <vt:lpstr>tabel2</vt:lpstr>
      <vt:lpstr>tingimus</vt:lpstr>
      <vt:lpstr>tulem</vt:lpstr>
      <vt:lpstr>tulemus</vt:lpstr>
      <vt:lpstr>varvid</vt:lpstr>
      <vt:lpstr>vasted</vt:lpstr>
      <vt:lpstr>vastused</vt:lpstr>
      <vt:lpstr>väljamõeldud_inimesed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Markus Erik Lüllman</dc:creator>
  <cp:lastModifiedBy>markus Lüllman</cp:lastModifiedBy>
  <dcterms:created xsi:type="dcterms:W3CDTF">2026-07-20T19:25:40Z</dcterms:created>
  <dcterms:modified xsi:type="dcterms:W3CDTF">2026-07-31T18:56:46Z</dcterms:modified>
</cp:coreProperties>
</file>