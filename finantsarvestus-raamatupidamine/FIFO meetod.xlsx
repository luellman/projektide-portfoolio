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finantsarvestus-raamatupidamine/"/>
    </mc:Choice>
  </mc:AlternateContent>
  <xr:revisionPtr revIDLastSave="143" documentId="8_{AF9B8345-F408-4E42-8B4F-C23FAF8B6228}" xr6:coauthVersionLast="47" xr6:coauthVersionMax="47" xr10:uidLastSave="{F7906DAA-B808-4839-9F8A-9871538E5F5F}"/>
  <bookViews>
    <workbookView xWindow="-108" yWindow="-108" windowWidth="23256" windowHeight="12456" xr2:uid="{55A5EC34-875C-4C29-A3D1-FB4D2E82FF27}"/>
  </bookViews>
  <sheets>
    <sheet name="7.5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7" i="1" l="1"/>
  <c r="P36" i="1" l="1"/>
  <c r="M36" i="1"/>
  <c r="M35" i="1"/>
  <c r="M34" i="1"/>
  <c r="L34" i="1"/>
  <c r="P32" i="1"/>
  <c r="P31" i="1"/>
  <c r="P30" i="1"/>
  <c r="P28" i="1"/>
  <c r="U8" i="1"/>
  <c r="P27" i="1"/>
  <c r="P25" i="1"/>
  <c r="P24" i="1"/>
  <c r="M23" i="1"/>
  <c r="M25" i="1" s="1"/>
  <c r="L23" i="1"/>
  <c r="U5" i="1"/>
  <c r="P21" i="1"/>
  <c r="P19" i="1"/>
  <c r="AB18" i="1"/>
  <c r="R18" i="1"/>
  <c r="AA17" i="1"/>
  <c r="U9" i="1" s="1"/>
  <c r="AA16" i="1"/>
  <c r="P16" i="1"/>
  <c r="AF15" i="1"/>
  <c r="AF16" i="1" s="1"/>
  <c r="AF19" i="1" s="1"/>
  <c r="AA15" i="1"/>
  <c r="R15" i="1"/>
  <c r="AB14" i="1"/>
  <c r="P14" i="1"/>
  <c r="AA13" i="1"/>
  <c r="R13" i="1"/>
  <c r="Q13" i="1"/>
  <c r="M13" i="1"/>
  <c r="L14" i="1" s="1"/>
  <c r="AF12" i="1"/>
  <c r="AA12" i="1"/>
  <c r="AA11" i="1"/>
  <c r="P11" i="1"/>
  <c r="AD10" i="1"/>
  <c r="AB10" i="1"/>
  <c r="P10" i="1"/>
  <c r="AA9" i="1"/>
  <c r="AA8" i="1"/>
  <c r="P8" i="1"/>
  <c r="AE7" i="1"/>
  <c r="AE8" i="1" s="1"/>
  <c r="AA7" i="1"/>
  <c r="AA6" i="1"/>
  <c r="C24" i="1"/>
  <c r="N38" i="1"/>
  <c r="U12" i="1" l="1"/>
  <c r="U6" i="1"/>
  <c r="U7" i="1" s="1"/>
  <c r="B25" i="1" s="1"/>
  <c r="L35" i="1"/>
  <c r="M37" i="1"/>
  <c r="M14" i="1"/>
  <c r="AG8" i="1"/>
  <c r="AB9" i="1" s="1"/>
  <c r="AG9" i="1"/>
  <c r="L24" i="1"/>
  <c r="L37" i="1" s="1"/>
  <c r="D24" i="1" s="1"/>
  <c r="P13" i="1"/>
  <c r="AG7" i="1"/>
  <c r="M38" i="1" l="1"/>
  <c r="B24" i="1" s="1"/>
  <c r="U13" i="1"/>
  <c r="C25" i="1" s="1"/>
  <c r="U10" i="1"/>
  <c r="U11" i="1" s="1"/>
  <c r="D25" i="1" s="1"/>
  <c r="AE9" i="1"/>
  <c r="AE11" i="1" s="1"/>
  <c r="AD9" i="1"/>
  <c r="Z10" i="1"/>
  <c r="AG11" i="1" l="1"/>
  <c r="AE12" i="1"/>
  <c r="AG12" i="1" s="1"/>
  <c r="AG13" i="1" l="1"/>
  <c r="AE13" i="1" s="1"/>
  <c r="AE15" i="1" s="1"/>
  <c r="AB13" i="1"/>
  <c r="Z14" i="1" l="1"/>
  <c r="AG15" i="1"/>
  <c r="AE16" i="1"/>
  <c r="AG16" i="1" s="1"/>
  <c r="AG19" i="1" l="1"/>
  <c r="AB17" i="1"/>
  <c r="AE19" i="1"/>
  <c r="C26" i="1" s="1"/>
  <c r="Z18" i="1" l="1"/>
  <c r="Z19" i="1" s="1"/>
  <c r="D26" i="1" s="1"/>
  <c r="AB19" i="1"/>
  <c r="B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tc={03385856-1F83-4BDD-8602-8829CC524EBD}</author>
    <author>tc={A62942B7-570A-4594-9B3D-48A3668FD1E1}</author>
    <author>tc={9FF23283-0714-409D-B106-54C439DA09B8}</author>
    <author>tc={F975234D-E886-49B4-BEE3-79C139CDE327}</author>
    <author>markus Lüllman</author>
    <author>tc={3DE44493-A2CC-4EB4-A5F8-D58B6E0F7B94}</author>
    <author>tc={4F89B7E5-FE75-4664-9616-2BD6D383489F}</author>
    <author>tc={D8C48AC4-DAFB-4886-8AEE-86A64BCD557A}</author>
    <author>tc={AF2015CC-171A-4CC8-893B-5841BD1EDA08}</author>
    <author>tc={DA807E34-B25B-4E15-A61C-25379FEF7052}</author>
    <author>tc={1FAFEA51-92F4-44CA-BB6A-744F892BACA8}</author>
    <author>tc={967D650E-F43A-42D1-8DF8-49FD7EC9ACCB}</author>
    <author>tc={07AC6578-B009-4894-BF5E-79890C30CE88}</author>
  </authors>
  <commentList>
    <comment ref="AB9" authorId="0" shapeId="0" xr:uid="{03385856-1F83-4BDD-8602-8829CC524E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omahind =4000*1,308 </t>
      </text>
    </comment>
    <comment ref="AB10" authorId="1" shapeId="0" xr:uid="{A62942B7-570A-4594-9B3D-48A3668FD1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tulu 4000*1,2 </t>
      </text>
    </comment>
    <comment ref="AB13" authorId="2" shapeId="0" xr:uid="{9FF23283-0714-409D-B106-54C439DA09B8}">
      <text>
        <t>[Threaded comment]
Your version of Excel allows you to read this threaded comment; however, any edits to it will get removed if the file is opened in a newer version of Excel. Learn more: https://go.microsoft.com/fwlink/?linkid=870924
Comment:
    Omahind</t>
      </text>
    </comment>
    <comment ref="M14" authorId="3" shapeId="0" xr:uid="{F975234D-E886-49B4-BEE3-79C139CDE327}">
      <text>
        <t>[Threaded comment]
Your version of Excel allows you to read this threaded comment; however, any edits to it will get removed if the file is opened in a newer version of Excel. Learn more: https://go.microsoft.com/fwlink/?linkid=870924
Comment:
    Omahind</t>
      </text>
    </comment>
    <comment ref="AB14" authorId="4" shapeId="0" xr:uid="{516E4818-F7E4-4F7D-923F-AC4821363A45}">
      <text>
        <r>
          <rPr>
            <b/>
            <sz val="9"/>
            <color indexed="81"/>
            <rFont val="Tahoma"/>
            <family val="2"/>
          </rPr>
          <t>markus Lüllman:</t>
        </r>
        <r>
          <rPr>
            <sz val="9"/>
            <color indexed="81"/>
            <rFont val="Tahoma"/>
            <family val="2"/>
          </rPr>
          <t xml:space="preserve">
turuhind e tulu
</t>
        </r>
      </text>
    </comment>
    <comment ref="AB17" authorId="5" shapeId="0" xr:uid="{3DE44493-A2CC-4EB4-A5F8-D58B6E0F7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Omahind
</t>
      </text>
    </comment>
    <comment ref="AB18" authorId="6" shapeId="0" xr:uid="{4F89B7E5-FE75-4664-9616-2BD6D383489F}">
      <text>
        <t>[Threaded comment]
Your version of Excel allows you to read this threaded comment; however, any edits to it will get removed if the file is opened in a newer version of Excel. Learn more: https://go.microsoft.com/fwlink/?linkid=870924
Comment:
    Turuhind ehk tulu</t>
      </text>
    </comment>
    <comment ref="B23" authorId="7" shapeId="0" xr:uid="{D8C48AC4-DAFB-4886-8AEE-86A64BCD557A}">
      <text>
        <t>[Threaded comment]
Your version of Excel allows you to read this threaded comment; however, any edits to it will get removed if the file is opened in a newer version of Excel. Learn more: https://go.microsoft.com/fwlink/?linkid=870924
Comment:
    väljaminek (müük) soetusmaksumuses</t>
      </text>
    </comment>
    <comment ref="B24" authorId="8" shapeId="0" xr:uid="{AF2015CC-171A-4CC8-893B-5841BD1EDA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Kõikide müükide omahinnad summeritud
</t>
      </text>
    </comment>
    <comment ref="B25" authorId="9" shapeId="0" xr:uid="{DA807E34-B25B-4E15-A61C-25379FEF70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Müüdud kogus*perioodi kaalutud keskmine hind(omahind)
</t>
      </text>
    </comment>
    <comment ref="M25" authorId="10" shapeId="0" xr:uid="{1FAFEA51-92F4-44CA-BB6A-744F892BACA8}">
      <text>
        <t>[Threaded comment]
Your version of Excel allows you to read this threaded comment; however, any edits to it will get removed if the file is opened in a newer version of Excel. Learn more: https://go.microsoft.com/fwlink/?linkid=870924
Comment:
    omahind</t>
      </text>
    </comment>
    <comment ref="B26" authorId="11" shapeId="0" xr:uid="{967D650E-F43A-42D1-8DF8-49FD7EC9AC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Kõikide müügitehingute omahinnad summeerituna
</t>
      </text>
    </comment>
    <comment ref="M37" authorId="12" shapeId="0" xr:uid="{07AC6578-B009-4894-BF5E-79890C30CE88}">
      <text>
        <t>[Threaded comment]
Your version of Excel allows you to read this threaded comment; however, any edits to it will get removed if the file is opened in a newer version of Excel. Learn more: https://go.microsoft.com/fwlink/?linkid=870924
Comment:
    omahind</t>
      </text>
    </comment>
  </commentList>
</comments>
</file>

<file path=xl/sharedStrings.xml><?xml version="1.0" encoding="utf-8"?>
<sst xmlns="http://schemas.openxmlformats.org/spreadsheetml/2006/main" count="128" uniqueCount="57">
  <si>
    <t>Ettevõttes oli järgmine diiselkütuse liikumine veebruaris (hulgihinnad, käibemaksuta):</t>
  </si>
  <si>
    <t>Kuup.</t>
  </si>
  <si>
    <t>Maj. tehing</t>
  </si>
  <si>
    <t>Kogus l</t>
  </si>
  <si>
    <t>Hind</t>
  </si>
  <si>
    <t>1.2.</t>
  </si>
  <si>
    <t>Saldo</t>
  </si>
  <si>
    <t>3.2.</t>
  </si>
  <si>
    <t>Sissetulek</t>
  </si>
  <si>
    <t>5.2.</t>
  </si>
  <si>
    <t>8.2.</t>
  </si>
  <si>
    <t>Müük</t>
  </si>
  <si>
    <t>10.2.</t>
  </si>
  <si>
    <t>15.2.</t>
  </si>
  <si>
    <t>18.2.</t>
  </si>
  <si>
    <t>20.2.</t>
  </si>
  <si>
    <t>23.2.</t>
  </si>
  <si>
    <t>28.2.</t>
  </si>
  <si>
    <t>Arvutada:</t>
  </si>
  <si>
    <t>1. Müüdud diiselkütuse kulud ja jääk perioodi lõpuks ning ettevõtte kasum diiselkütuse müügist</t>
  </si>
  <si>
    <t>a) kui arvestuseks kasutatakse FIFO meetodit</t>
  </si>
  <si>
    <t>b) kui arvestuseks kasutatakse kaalutud keskmise meetodit (perioodiarvestus)</t>
  </si>
  <si>
    <t>c) kui arvestuseks kasutatakse kaalutud keskmise meetodit (pidevarvestus)</t>
  </si>
  <si>
    <t>Lõpptulemused ümardada eurodeni</t>
  </si>
  <si>
    <t>Meetod</t>
  </si>
  <si>
    <t>Müüdud kaupade kulud €</t>
  </si>
  <si>
    <t>Jääk €</t>
  </si>
  <si>
    <t>Kasum €</t>
  </si>
  <si>
    <t>FIFO</t>
  </si>
  <si>
    <t>kasum suurim kui hinnad tõusevad</t>
  </si>
  <si>
    <t>Kaal. keskm. per.</t>
  </si>
  <si>
    <t>Kaal. keskm. pid.</t>
  </si>
  <si>
    <t xml:space="preserve"> </t>
  </si>
  <si>
    <t>kaalutud keskmine pidev</t>
  </si>
  <si>
    <t>hind</t>
  </si>
  <si>
    <t>Jääk EUR</t>
  </si>
  <si>
    <t>kogus</t>
  </si>
  <si>
    <t>summa</t>
  </si>
  <si>
    <t xml:space="preserve">kasum </t>
  </si>
  <si>
    <t>kasum</t>
  </si>
  <si>
    <t>kasum kokku</t>
  </si>
  <si>
    <t>COGS</t>
  </si>
  <si>
    <t>jääk</t>
  </si>
  <si>
    <t>kaalutud keskmine perioodiarvestus</t>
  </si>
  <si>
    <t>sisseostude kogus kokku</t>
  </si>
  <si>
    <t>sisseostude summa kokku+algsaldo</t>
  </si>
  <si>
    <t>ostetud kaalutud keskmine omahind</t>
  </si>
  <si>
    <t>müüdud kogus kokku</t>
  </si>
  <si>
    <t>müüdud summa kokku tulu turuhind</t>
  </si>
  <si>
    <t>müüdud summa kokku omahinnaga</t>
  </si>
  <si>
    <t>lõppjääk</t>
  </si>
  <si>
    <t>eurodes lõppjääk omahinnas</t>
  </si>
  <si>
    <t>müüdud kaupade kulud kokku</t>
  </si>
  <si>
    <t>keskmine soetumus-maksumus</t>
  </si>
  <si>
    <t>=(5000*1,05+1000)/6000</t>
  </si>
  <si>
    <t>=(6250+6000*1,02)/12000</t>
  </si>
  <si>
    <t>=(8247+5000*1)/13000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</si>
</sst>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_k_r"/>
    <numFmt numFmtId="165" formatCode="#,##0_р_."/>
    <numFmt numFmtId="166" formatCode="_-* #,##0\ _k_r_-;\-* #,##0\ _k_r_-;_-* &quot;-&quot;\ _k_r_-;_-@_-"/>
    <numFmt numFmtId="167" formatCode="[$-F800]dddd\,\ mmmm\ dd\,\ yyyy"/>
    <numFmt numFmtId="168" formatCode="_-* #,##0.0000\ _k_r_-;\-* #,##0.0000\ _k_r_-;_-* &quot;-&quot;\ _k_r_-;_-@_-"/>
    <numFmt numFmtId="169" formatCode="0.000"/>
    <numFmt numFmtId="170" formatCode="0.0"/>
  </numFmts>
  <fonts count="8" x14ac:knownFonts="1">
    <font>
      <sz val="11"/>
      <color theme="1"/>
      <name val="Calibri"/>
      <family val="2"/>
      <charset val="186"/>
      <scheme val="minor"/>
    </font>
    <font>
      <sz val="11"/>
      <name val="Arial"/>
      <family val="2"/>
      <charset val="186"/>
    </font>
    <font>
      <b/>
      <sz val="11"/>
      <name val="Arial"/>
      <family val="2"/>
      <charset val="186"/>
    </font>
    <font>
      <sz val="11"/>
      <color rgb="FFFF0000"/>
      <name val="Arial"/>
      <family val="2"/>
      <charset val="186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2" borderId="1" xfId="0" applyFont="1" applyFill="1" applyBorder="1"/>
    <xf numFmtId="165" fontId="1" fillId="0" borderId="5" xfId="0" applyNumberFormat="1" applyFont="1" applyBorder="1"/>
    <xf numFmtId="166" fontId="1" fillId="0" borderId="0" xfId="0" applyNumberFormat="1" applyFont="1"/>
    <xf numFmtId="165" fontId="1" fillId="0" borderId="1" xfId="0" applyNumberFormat="1" applyFont="1" applyBorder="1"/>
    <xf numFmtId="165" fontId="1" fillId="0" borderId="6" xfId="0" applyNumberFormat="1" applyFont="1" applyBorder="1"/>
    <xf numFmtId="165" fontId="1" fillId="0" borderId="5" xfId="0" applyNumberFormat="1" applyFont="1" applyBorder="1" applyAlignment="1">
      <alignment wrapText="1"/>
    </xf>
    <xf numFmtId="165" fontId="1" fillId="0" borderId="7" xfId="0" applyNumberFormat="1" applyFont="1" applyBorder="1" applyAlignment="1">
      <alignment wrapText="1"/>
    </xf>
    <xf numFmtId="165" fontId="1" fillId="0" borderId="8" xfId="0" applyNumberFormat="1" applyFont="1" applyBorder="1"/>
    <xf numFmtId="165" fontId="1" fillId="0" borderId="9" xfId="0" applyNumberFormat="1" applyFont="1" applyBorder="1"/>
    <xf numFmtId="164" fontId="4" fillId="0" borderId="0" xfId="0" applyNumberFormat="1" applyFont="1"/>
    <xf numFmtId="166" fontId="4" fillId="0" borderId="0" xfId="0" applyNumberFormat="1" applyFont="1"/>
    <xf numFmtId="0" fontId="1" fillId="0" borderId="10" xfId="0" applyFont="1" applyBorder="1"/>
    <xf numFmtId="0" fontId="1" fillId="0" borderId="11" xfId="0" applyFont="1" applyBorder="1"/>
    <xf numFmtId="166" fontId="1" fillId="3" borderId="1" xfId="0" applyNumberFormat="1" applyFont="1" applyFill="1" applyBorder="1"/>
    <xf numFmtId="166" fontId="1" fillId="3" borderId="8" xfId="0" applyNumberFormat="1" applyFont="1" applyFill="1" applyBorder="1"/>
    <xf numFmtId="0" fontId="1" fillId="0" borderId="8" xfId="0" applyFont="1" applyBorder="1"/>
    <xf numFmtId="167" fontId="1" fillId="0" borderId="5" xfId="0" applyNumberFormat="1" applyFont="1" applyBorder="1"/>
    <xf numFmtId="0" fontId="1" fillId="0" borderId="6" xfId="0" applyFont="1" applyBorder="1"/>
    <xf numFmtId="166" fontId="1" fillId="3" borderId="5" xfId="0" applyNumberFormat="1" applyFont="1" applyFill="1" applyBorder="1"/>
    <xf numFmtId="0" fontId="1" fillId="0" borderId="9" xfId="0" applyFont="1" applyBorder="1"/>
    <xf numFmtId="166" fontId="1" fillId="3" borderId="14" xfId="0" applyNumberFormat="1" applyFont="1" applyFill="1" applyBorder="1"/>
    <xf numFmtId="0" fontId="1" fillId="0" borderId="14" xfId="0" applyFont="1" applyBorder="1"/>
    <xf numFmtId="166" fontId="1" fillId="3" borderId="13" xfId="0" applyNumberFormat="1" applyFont="1" applyFill="1" applyBorder="1"/>
    <xf numFmtId="2" fontId="1" fillId="0" borderId="1" xfId="0" applyNumberFormat="1" applyFont="1" applyBorder="1"/>
    <xf numFmtId="168" fontId="1" fillId="0" borderId="6" xfId="0" applyNumberFormat="1" applyFont="1" applyBorder="1"/>
    <xf numFmtId="0" fontId="1" fillId="2" borderId="6" xfId="0" applyFont="1" applyFill="1" applyBorder="1"/>
    <xf numFmtId="166" fontId="4" fillId="3" borderId="6" xfId="0" applyNumberFormat="1" applyFont="1" applyFill="1" applyBorder="1"/>
    <xf numFmtId="2" fontId="1" fillId="0" borderId="6" xfId="0" applyNumberFormat="1" applyFont="1" applyBorder="1"/>
    <xf numFmtId="166" fontId="1" fillId="0" borderId="1" xfId="0" applyNumberFormat="1" applyFont="1" applyBorder="1"/>
    <xf numFmtId="166" fontId="1" fillId="0" borderId="8" xfId="0" applyNumberFormat="1" applyFont="1" applyBorder="1"/>
    <xf numFmtId="169" fontId="1" fillId="0" borderId="6" xfId="0" applyNumberFormat="1" applyFon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166" fontId="4" fillId="2" borderId="1" xfId="0" applyNumberFormat="1" applyFont="1" applyFill="1" applyBorder="1"/>
    <xf numFmtId="166" fontId="1" fillId="4" borderId="8" xfId="0" applyNumberFormat="1" applyFont="1" applyFill="1" applyBorder="1"/>
    <xf numFmtId="167" fontId="1" fillId="0" borderId="16" xfId="0" applyNumberFormat="1" applyFont="1" applyBorder="1"/>
    <xf numFmtId="0" fontId="1" fillId="0" borderId="17" xfId="0" applyFont="1" applyBorder="1"/>
    <xf numFmtId="164" fontId="1" fillId="0" borderId="18" xfId="0" applyNumberFormat="1" applyFont="1" applyBorder="1"/>
    <xf numFmtId="166" fontId="4" fillId="2" borderId="19" xfId="0" applyNumberFormat="1" applyFont="1" applyFill="1" applyBorder="1"/>
    <xf numFmtId="166" fontId="1" fillId="3" borderId="16" xfId="0" applyNumberFormat="1" applyFont="1" applyFill="1" applyBorder="1"/>
    <xf numFmtId="0" fontId="1" fillId="0" borderId="20" xfId="0" applyFont="1" applyBorder="1"/>
    <xf numFmtId="2" fontId="1" fillId="0" borderId="21" xfId="0" applyNumberFormat="1" applyFont="1" applyBorder="1"/>
    <xf numFmtId="0" fontId="1" fillId="0" borderId="7" xfId="0" applyFont="1" applyBorder="1"/>
    <xf numFmtId="0" fontId="1" fillId="0" borderId="22" xfId="0" applyFont="1" applyBorder="1"/>
    <xf numFmtId="0" fontId="4" fillId="0" borderId="23" xfId="0" applyFont="1" applyBorder="1"/>
    <xf numFmtId="166" fontId="4" fillId="0" borderId="24" xfId="0" applyNumberFormat="1" applyFont="1" applyBorder="1"/>
    <xf numFmtId="166" fontId="4" fillId="0" borderId="23" xfId="0" applyNumberFormat="1" applyFont="1" applyBorder="1"/>
    <xf numFmtId="166" fontId="4" fillId="0" borderId="25" xfId="0" applyNumberFormat="1" applyFont="1" applyBorder="1"/>
    <xf numFmtId="164" fontId="1" fillId="0" borderId="8" xfId="0" applyNumberFormat="1" applyFont="1" applyBorder="1"/>
    <xf numFmtId="2" fontId="1" fillId="0" borderId="20" xfId="0" applyNumberFormat="1" applyFont="1" applyBorder="1"/>
    <xf numFmtId="166" fontId="1" fillId="3" borderId="20" xfId="0" applyNumberFormat="1" applyFont="1" applyFill="1" applyBorder="1"/>
    <xf numFmtId="166" fontId="2" fillId="3" borderId="1" xfId="0" applyNumberFormat="1" applyFont="1" applyFill="1" applyBorder="1"/>
    <xf numFmtId="2" fontId="1" fillId="0" borderId="1" xfId="0" applyNumberFormat="1" applyFont="1" applyBorder="1" applyAlignment="1"/>
    <xf numFmtId="0" fontId="4" fillId="0" borderId="1" xfId="0" applyFont="1" applyBorder="1"/>
    <xf numFmtId="2" fontId="1" fillId="0" borderId="6" xfId="0" applyNumberFormat="1" applyFont="1" applyBorder="1" applyAlignment="1"/>
    <xf numFmtId="0" fontId="1" fillId="0" borderId="0" xfId="0" quotePrefix="1" applyFont="1"/>
    <xf numFmtId="0" fontId="1" fillId="0" borderId="31" xfId="0" applyFont="1" applyBorder="1"/>
    <xf numFmtId="0" fontId="1" fillId="0" borderId="32" xfId="0" applyFont="1" applyBorder="1"/>
    <xf numFmtId="0" fontId="1" fillId="3" borderId="0" xfId="0" applyFont="1" applyFill="1" applyBorder="1"/>
    <xf numFmtId="170" fontId="4" fillId="0" borderId="8" xfId="0" applyNumberFormat="1" applyFont="1" applyBorder="1"/>
    <xf numFmtId="169" fontId="1" fillId="0" borderId="9" xfId="0" applyNumberFormat="1" applyFont="1" applyBorder="1"/>
    <xf numFmtId="0" fontId="1" fillId="5" borderId="2" xfId="0" applyFont="1" applyFill="1" applyBorder="1"/>
    <xf numFmtId="0" fontId="1" fillId="5" borderId="3" xfId="0" applyFont="1" applyFill="1" applyBorder="1" applyAlignment="1">
      <alignment wrapText="1"/>
    </xf>
    <xf numFmtId="0" fontId="1" fillId="5" borderId="3" xfId="0" applyFont="1" applyFill="1" applyBorder="1"/>
    <xf numFmtId="0" fontId="1" fillId="5" borderId="4" xfId="0" applyFont="1" applyFill="1" applyBorder="1"/>
    <xf numFmtId="0" fontId="7" fillId="5" borderId="2" xfId="0" applyFont="1" applyFill="1" applyBorder="1"/>
    <xf numFmtId="0" fontId="7" fillId="5" borderId="3" xfId="0" applyFont="1" applyFill="1" applyBorder="1"/>
    <xf numFmtId="0" fontId="7" fillId="5" borderId="4" xfId="0" applyFont="1" applyFill="1" applyBorder="1"/>
    <xf numFmtId="0" fontId="7" fillId="5" borderId="34" xfId="0" applyFont="1" applyFill="1" applyBorder="1"/>
    <xf numFmtId="0" fontId="7" fillId="5" borderId="2" xfId="0" applyFont="1" applyFill="1" applyBorder="1" applyAlignment="1">
      <alignment wrapText="1"/>
    </xf>
    <xf numFmtId="0" fontId="7" fillId="5" borderId="35" xfId="0" applyFont="1" applyFill="1" applyBorder="1"/>
    <xf numFmtId="0" fontId="7" fillId="5" borderId="3" xfId="0" applyFont="1" applyFill="1" applyBorder="1" applyAlignment="1">
      <alignment wrapText="1"/>
    </xf>
    <xf numFmtId="0" fontId="7" fillId="5" borderId="4" xfId="0" applyFont="1" applyFill="1" applyBorder="1" applyAlignment="1">
      <alignment horizontal="center" wrapText="1"/>
    </xf>
    <xf numFmtId="0" fontId="1" fillId="0" borderId="15" xfId="0" applyFont="1" applyBorder="1"/>
    <xf numFmtId="2" fontId="1" fillId="0" borderId="9" xfId="0" applyNumberFormat="1" applyFont="1" applyBorder="1"/>
    <xf numFmtId="0" fontId="1" fillId="0" borderId="16" xfId="0" applyFont="1" applyBorder="1"/>
    <xf numFmtId="0" fontId="1" fillId="0" borderId="5" xfId="0" applyFont="1" applyBorder="1"/>
    <xf numFmtId="0" fontId="1" fillId="0" borderId="0" xfId="0" applyFont="1" applyBorder="1"/>
    <xf numFmtId="1" fontId="1" fillId="0" borderId="4" xfId="0" applyNumberFormat="1" applyFont="1" applyBorder="1" applyAlignment="1"/>
    <xf numFmtId="0" fontId="7" fillId="5" borderId="5" xfId="0" applyFont="1" applyFill="1" applyBorder="1"/>
    <xf numFmtId="1" fontId="1" fillId="0" borderId="6" xfId="0" applyNumberFormat="1" applyFont="1" applyBorder="1" applyAlignment="1"/>
    <xf numFmtId="0" fontId="7" fillId="5" borderId="5" xfId="0" applyFont="1" applyFill="1" applyBorder="1" applyAlignment="1">
      <alignment wrapText="1"/>
    </xf>
    <xf numFmtId="1" fontId="4" fillId="0" borderId="6" xfId="0" applyNumberFormat="1" applyFont="1" applyBorder="1"/>
    <xf numFmtId="1" fontId="1" fillId="0" borderId="6" xfId="0" applyNumberFormat="1" applyFont="1" applyBorder="1"/>
    <xf numFmtId="0" fontId="7" fillId="5" borderId="7" xfId="0" applyFont="1" applyFill="1" applyBorder="1"/>
    <xf numFmtId="1" fontId="4" fillId="0" borderId="9" xfId="0" applyNumberFormat="1" applyFont="1" applyBorder="1"/>
    <xf numFmtId="166" fontId="4" fillId="0" borderId="1" xfId="0" applyNumberFormat="1" applyFont="1" applyBorder="1"/>
    <xf numFmtId="166" fontId="4" fillId="0" borderId="8" xfId="0" applyNumberFormat="1" applyFont="1" applyBorder="1"/>
    <xf numFmtId="166" fontId="1" fillId="4" borderId="1" xfId="0" applyNumberFormat="1" applyFont="1" applyFill="1" applyBorder="1"/>
    <xf numFmtId="0" fontId="4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4" fillId="0" borderId="26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" fillId="2" borderId="9" xfId="0" applyFont="1" applyFill="1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kus Lüllman" id="{99EF065C-E314-4423-955E-3DE090238874}" userId="598c36b14c3f46f3" providerId="Windows Live"/>
  <person displayName="Markus Erik Lüllman" id="{BB07DBDE-D175-4BB6-BCFA-8F900AB0F383}" userId="S::lullma@taltech.ee::1196c189-b243-4b08-a1ee-08e1a3e4b49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9" dT="2025-04-13T08:40:54.53" personId="{BB07DBDE-D175-4BB6-BCFA-8F900AB0F383}" id="{03385856-1F83-4BDD-8602-8829CC524EBD}">
    <text xml:space="preserve"> omahind =4000*1,308 </text>
  </threadedComment>
  <threadedComment ref="AB10" dT="2025-04-13T08:41:10.13" personId="{BB07DBDE-D175-4BB6-BCFA-8F900AB0F383}" id="{A62942B7-570A-4594-9B3D-48A3668FD1E1}">
    <text xml:space="preserve"> tulu 4000*1,2 </text>
  </threadedComment>
  <threadedComment ref="AB13" dT="2025-04-13T08:58:11.79" personId="{BB07DBDE-D175-4BB6-BCFA-8F900AB0F383}" id="{9FF23283-0714-409D-B106-54C439DA09B8}">
    <text>Omahind</text>
  </threadedComment>
  <threadedComment ref="M14" dT="2025-04-13T09:28:39.74" personId="{BB07DBDE-D175-4BB6-BCFA-8F900AB0F383}" id="{F975234D-E886-49B4-BEE3-79C139CDE327}">
    <text>Omahind</text>
  </threadedComment>
  <threadedComment ref="AB17" dT="2025-04-13T08:58:54.05" personId="{BB07DBDE-D175-4BB6-BCFA-8F900AB0F383}" id="{3DE44493-A2CC-4EB4-A5F8-D58B6E0F7B94}">
    <text xml:space="preserve">Omahind
</text>
  </threadedComment>
  <threadedComment ref="AB18" dT="2025-04-13T08:59:09.11" personId="{BB07DBDE-D175-4BB6-BCFA-8F900AB0F383}" id="{4F89B7E5-FE75-4664-9616-2BD6D383489F}">
    <text>Turuhind ehk tulu</text>
  </threadedComment>
  <threadedComment ref="B23" dT="2026-07-17T15:41:04.79" personId="{99EF065C-E314-4423-955E-3DE090238874}" id="{D8C48AC4-DAFB-4886-8AEE-86A64BCD557A}">
    <text>väljaminek (müük) soetusmaksumuses</text>
  </threadedComment>
  <threadedComment ref="B24" dT="2025-04-13T09:32:50.16" personId="{BB07DBDE-D175-4BB6-BCFA-8F900AB0F383}" id="{AF2015CC-171A-4CC8-893B-5841BD1EDA08}">
    <text xml:space="preserve">Kõikide müükide omahinnad summeritud
</text>
  </threadedComment>
  <threadedComment ref="B25" dT="2025-04-13T09:33:26.75" personId="{BB07DBDE-D175-4BB6-BCFA-8F900AB0F383}" id="{DA807E34-B25B-4E15-A61C-25379FEF7052}">
    <text xml:space="preserve">Müüdud kogus*perioodi kaalutud keskmine hind(omahind)
</text>
  </threadedComment>
  <threadedComment ref="M25" dT="2025-04-13T09:28:56.04" personId="{BB07DBDE-D175-4BB6-BCFA-8F900AB0F383}" id="{1FAFEA51-92F4-44CA-BB6A-744F892BACA8}">
    <text>omahind</text>
  </threadedComment>
  <threadedComment ref="B26" dT="2025-04-13T09:34:36.88" personId="{BB07DBDE-D175-4BB6-BCFA-8F900AB0F383}" id="{967D650E-F43A-42D1-8DF8-49FD7EC9ACCB}">
    <text xml:space="preserve">Kõikide müügitehingute omahinnad summeerituna
</text>
  </threadedComment>
  <threadedComment ref="M37" dT="2025-04-13T09:29:03.82" personId="{BB07DBDE-D175-4BB6-BCFA-8F900AB0F383}" id="{07AC6578-B009-4894-BF5E-79890C30CE88}">
    <text>omahind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6F86-19B2-45EF-8B2E-76664FE9A77C}">
  <dimension ref="A2:AH73"/>
  <sheetViews>
    <sheetView tabSelected="1" zoomScale="56" zoomScaleNormal="25" workbookViewId="0">
      <selection activeCell="T26" sqref="T26"/>
    </sheetView>
  </sheetViews>
  <sheetFormatPr defaultColWidth="9.109375" defaultRowHeight="13.8" x14ac:dyDescent="0.25"/>
  <cols>
    <col min="1" max="1" width="8.88671875" style="1" customWidth="1"/>
    <col min="2" max="2" width="15.109375" style="1" customWidth="1"/>
    <col min="3" max="3" width="13.5546875" style="1" customWidth="1"/>
    <col min="4" max="4" width="9.88671875" style="1" customWidth="1"/>
    <col min="5" max="5" width="12.109375" style="1" customWidth="1"/>
    <col min="6" max="6" width="11.109375" style="1" bestFit="1" customWidth="1"/>
    <col min="7" max="7" width="11.6640625" style="1" customWidth="1"/>
    <col min="8" max="8" width="12.21875" style="1" bestFit="1" customWidth="1"/>
    <col min="9" max="9" width="15.6640625" style="1" customWidth="1"/>
    <col min="10" max="10" width="11.33203125" style="1" bestFit="1" customWidth="1"/>
    <col min="11" max="11" width="14.77734375" style="1" bestFit="1" customWidth="1"/>
    <col min="12" max="12" width="11.21875" style="1" bestFit="1" customWidth="1"/>
    <col min="13" max="13" width="11.77734375" style="1" bestFit="1" customWidth="1"/>
    <col min="14" max="14" width="11.21875" style="1" bestFit="1" customWidth="1"/>
    <col min="15" max="15" width="9.21875" style="1" bestFit="1" customWidth="1"/>
    <col min="16" max="16" width="10.33203125" style="1" bestFit="1" customWidth="1"/>
    <col min="17" max="17" width="9.21875" style="1" bestFit="1" customWidth="1"/>
    <col min="18" max="18" width="9.109375" style="1" customWidth="1"/>
    <col min="19" max="19" width="8" style="1" customWidth="1"/>
    <col min="20" max="20" width="40" style="1" bestFit="1" customWidth="1"/>
    <col min="21" max="21" width="34.44140625" style="1" customWidth="1"/>
    <col min="22" max="22" width="8.44140625" style="1" customWidth="1"/>
    <col min="23" max="23" width="14.21875" style="1" customWidth="1"/>
    <col min="24" max="24" width="35.88671875" style="1" bestFit="1" customWidth="1"/>
    <col min="25" max="25" width="14.77734375" style="1" bestFit="1" customWidth="1"/>
    <col min="26" max="26" width="13.6640625" style="1" customWidth="1"/>
    <col min="27" max="27" width="10.109375" style="1" bestFit="1" customWidth="1"/>
    <col min="28" max="28" width="11.77734375" style="1" bestFit="1" customWidth="1"/>
    <col min="29" max="29" width="11.33203125" style="1" customWidth="1"/>
    <col min="30" max="30" width="11.5546875" style="1" bestFit="1" customWidth="1"/>
    <col min="31" max="31" width="16.6640625" style="1" customWidth="1"/>
    <col min="32" max="32" width="10" style="1" bestFit="1" customWidth="1"/>
    <col min="33" max="33" width="16.109375" style="1" customWidth="1"/>
    <col min="34" max="34" width="9.21875" style="1" bestFit="1" customWidth="1"/>
    <col min="35" max="260" width="9.109375" style="1"/>
    <col min="261" max="261" width="17.6640625" style="1" customWidth="1"/>
    <col min="262" max="262" width="25.44140625" style="1" customWidth="1"/>
    <col min="263" max="263" width="17.6640625" style="1" customWidth="1"/>
    <col min="264" max="264" width="17.44140625" style="1" customWidth="1"/>
    <col min="265" max="516" width="9.109375" style="1"/>
    <col min="517" max="517" width="17.6640625" style="1" customWidth="1"/>
    <col min="518" max="518" width="25.44140625" style="1" customWidth="1"/>
    <col min="519" max="519" width="17.6640625" style="1" customWidth="1"/>
    <col min="520" max="520" width="17.44140625" style="1" customWidth="1"/>
    <col min="521" max="772" width="9.109375" style="1"/>
    <col min="773" max="773" width="17.6640625" style="1" customWidth="1"/>
    <col min="774" max="774" width="25.44140625" style="1" customWidth="1"/>
    <col min="775" max="775" width="17.6640625" style="1" customWidth="1"/>
    <col min="776" max="776" width="17.44140625" style="1" customWidth="1"/>
    <col min="777" max="1028" width="9.109375" style="1"/>
    <col min="1029" max="1029" width="17.6640625" style="1" customWidth="1"/>
    <col min="1030" max="1030" width="25.44140625" style="1" customWidth="1"/>
    <col min="1031" max="1031" width="17.6640625" style="1" customWidth="1"/>
    <col min="1032" max="1032" width="17.44140625" style="1" customWidth="1"/>
    <col min="1033" max="1284" width="9.109375" style="1"/>
    <col min="1285" max="1285" width="17.6640625" style="1" customWidth="1"/>
    <col min="1286" max="1286" width="25.44140625" style="1" customWidth="1"/>
    <col min="1287" max="1287" width="17.6640625" style="1" customWidth="1"/>
    <col min="1288" max="1288" width="17.44140625" style="1" customWidth="1"/>
    <col min="1289" max="1540" width="9.109375" style="1"/>
    <col min="1541" max="1541" width="17.6640625" style="1" customWidth="1"/>
    <col min="1542" max="1542" width="25.44140625" style="1" customWidth="1"/>
    <col min="1543" max="1543" width="17.6640625" style="1" customWidth="1"/>
    <col min="1544" max="1544" width="17.44140625" style="1" customWidth="1"/>
    <col min="1545" max="1796" width="9.109375" style="1"/>
    <col min="1797" max="1797" width="17.6640625" style="1" customWidth="1"/>
    <col min="1798" max="1798" width="25.44140625" style="1" customWidth="1"/>
    <col min="1799" max="1799" width="17.6640625" style="1" customWidth="1"/>
    <col min="1800" max="1800" width="17.44140625" style="1" customWidth="1"/>
    <col min="1801" max="2052" width="9.109375" style="1"/>
    <col min="2053" max="2053" width="17.6640625" style="1" customWidth="1"/>
    <col min="2054" max="2054" width="25.44140625" style="1" customWidth="1"/>
    <col min="2055" max="2055" width="17.6640625" style="1" customWidth="1"/>
    <col min="2056" max="2056" width="17.44140625" style="1" customWidth="1"/>
    <col min="2057" max="2308" width="9.109375" style="1"/>
    <col min="2309" max="2309" width="17.6640625" style="1" customWidth="1"/>
    <col min="2310" max="2310" width="25.44140625" style="1" customWidth="1"/>
    <col min="2311" max="2311" width="17.6640625" style="1" customWidth="1"/>
    <col min="2312" max="2312" width="17.44140625" style="1" customWidth="1"/>
    <col min="2313" max="2564" width="9.109375" style="1"/>
    <col min="2565" max="2565" width="17.6640625" style="1" customWidth="1"/>
    <col min="2566" max="2566" width="25.44140625" style="1" customWidth="1"/>
    <col min="2567" max="2567" width="17.6640625" style="1" customWidth="1"/>
    <col min="2568" max="2568" width="17.44140625" style="1" customWidth="1"/>
    <col min="2569" max="2820" width="9.109375" style="1"/>
    <col min="2821" max="2821" width="17.6640625" style="1" customWidth="1"/>
    <col min="2822" max="2822" width="25.44140625" style="1" customWidth="1"/>
    <col min="2823" max="2823" width="17.6640625" style="1" customWidth="1"/>
    <col min="2824" max="2824" width="17.44140625" style="1" customWidth="1"/>
    <col min="2825" max="3076" width="9.109375" style="1"/>
    <col min="3077" max="3077" width="17.6640625" style="1" customWidth="1"/>
    <col min="3078" max="3078" width="25.44140625" style="1" customWidth="1"/>
    <col min="3079" max="3079" width="17.6640625" style="1" customWidth="1"/>
    <col min="3080" max="3080" width="17.44140625" style="1" customWidth="1"/>
    <col min="3081" max="3332" width="9.109375" style="1"/>
    <col min="3333" max="3333" width="17.6640625" style="1" customWidth="1"/>
    <col min="3334" max="3334" width="25.44140625" style="1" customWidth="1"/>
    <col min="3335" max="3335" width="17.6640625" style="1" customWidth="1"/>
    <col min="3336" max="3336" width="17.44140625" style="1" customWidth="1"/>
    <col min="3337" max="3588" width="9.109375" style="1"/>
    <col min="3589" max="3589" width="17.6640625" style="1" customWidth="1"/>
    <col min="3590" max="3590" width="25.44140625" style="1" customWidth="1"/>
    <col min="3591" max="3591" width="17.6640625" style="1" customWidth="1"/>
    <col min="3592" max="3592" width="17.44140625" style="1" customWidth="1"/>
    <col min="3593" max="3844" width="9.109375" style="1"/>
    <col min="3845" max="3845" width="17.6640625" style="1" customWidth="1"/>
    <col min="3846" max="3846" width="25.44140625" style="1" customWidth="1"/>
    <col min="3847" max="3847" width="17.6640625" style="1" customWidth="1"/>
    <col min="3848" max="3848" width="17.44140625" style="1" customWidth="1"/>
    <col min="3849" max="4100" width="9.109375" style="1"/>
    <col min="4101" max="4101" width="17.6640625" style="1" customWidth="1"/>
    <col min="4102" max="4102" width="25.44140625" style="1" customWidth="1"/>
    <col min="4103" max="4103" width="17.6640625" style="1" customWidth="1"/>
    <col min="4104" max="4104" width="17.44140625" style="1" customWidth="1"/>
    <col min="4105" max="4356" width="9.109375" style="1"/>
    <col min="4357" max="4357" width="17.6640625" style="1" customWidth="1"/>
    <col min="4358" max="4358" width="25.44140625" style="1" customWidth="1"/>
    <col min="4359" max="4359" width="17.6640625" style="1" customWidth="1"/>
    <col min="4360" max="4360" width="17.44140625" style="1" customWidth="1"/>
    <col min="4361" max="4612" width="9.109375" style="1"/>
    <col min="4613" max="4613" width="17.6640625" style="1" customWidth="1"/>
    <col min="4614" max="4614" width="25.44140625" style="1" customWidth="1"/>
    <col min="4615" max="4615" width="17.6640625" style="1" customWidth="1"/>
    <col min="4616" max="4616" width="17.44140625" style="1" customWidth="1"/>
    <col min="4617" max="4868" width="9.109375" style="1"/>
    <col min="4869" max="4869" width="17.6640625" style="1" customWidth="1"/>
    <col min="4870" max="4870" width="25.44140625" style="1" customWidth="1"/>
    <col min="4871" max="4871" width="17.6640625" style="1" customWidth="1"/>
    <col min="4872" max="4872" width="17.44140625" style="1" customWidth="1"/>
    <col min="4873" max="5124" width="9.109375" style="1"/>
    <col min="5125" max="5125" width="17.6640625" style="1" customWidth="1"/>
    <col min="5126" max="5126" width="25.44140625" style="1" customWidth="1"/>
    <col min="5127" max="5127" width="17.6640625" style="1" customWidth="1"/>
    <col min="5128" max="5128" width="17.44140625" style="1" customWidth="1"/>
    <col min="5129" max="5380" width="9.109375" style="1"/>
    <col min="5381" max="5381" width="17.6640625" style="1" customWidth="1"/>
    <col min="5382" max="5382" width="25.44140625" style="1" customWidth="1"/>
    <col min="5383" max="5383" width="17.6640625" style="1" customWidth="1"/>
    <col min="5384" max="5384" width="17.44140625" style="1" customWidth="1"/>
    <col min="5385" max="5636" width="9.109375" style="1"/>
    <col min="5637" max="5637" width="17.6640625" style="1" customWidth="1"/>
    <col min="5638" max="5638" width="25.44140625" style="1" customWidth="1"/>
    <col min="5639" max="5639" width="17.6640625" style="1" customWidth="1"/>
    <col min="5640" max="5640" width="17.44140625" style="1" customWidth="1"/>
    <col min="5641" max="5892" width="9.109375" style="1"/>
    <col min="5893" max="5893" width="17.6640625" style="1" customWidth="1"/>
    <col min="5894" max="5894" width="25.44140625" style="1" customWidth="1"/>
    <col min="5895" max="5895" width="17.6640625" style="1" customWidth="1"/>
    <col min="5896" max="5896" width="17.44140625" style="1" customWidth="1"/>
    <col min="5897" max="6148" width="9.109375" style="1"/>
    <col min="6149" max="6149" width="17.6640625" style="1" customWidth="1"/>
    <col min="6150" max="6150" width="25.44140625" style="1" customWidth="1"/>
    <col min="6151" max="6151" width="17.6640625" style="1" customWidth="1"/>
    <col min="6152" max="6152" width="17.44140625" style="1" customWidth="1"/>
    <col min="6153" max="6404" width="9.109375" style="1"/>
    <col min="6405" max="6405" width="17.6640625" style="1" customWidth="1"/>
    <col min="6406" max="6406" width="25.44140625" style="1" customWidth="1"/>
    <col min="6407" max="6407" width="17.6640625" style="1" customWidth="1"/>
    <col min="6408" max="6408" width="17.44140625" style="1" customWidth="1"/>
    <col min="6409" max="6660" width="9.109375" style="1"/>
    <col min="6661" max="6661" width="17.6640625" style="1" customWidth="1"/>
    <col min="6662" max="6662" width="25.44140625" style="1" customWidth="1"/>
    <col min="6663" max="6663" width="17.6640625" style="1" customWidth="1"/>
    <col min="6664" max="6664" width="17.44140625" style="1" customWidth="1"/>
    <col min="6665" max="6916" width="9.109375" style="1"/>
    <col min="6917" max="6917" width="17.6640625" style="1" customWidth="1"/>
    <col min="6918" max="6918" width="25.44140625" style="1" customWidth="1"/>
    <col min="6919" max="6919" width="17.6640625" style="1" customWidth="1"/>
    <col min="6920" max="6920" width="17.44140625" style="1" customWidth="1"/>
    <col min="6921" max="7172" width="9.109375" style="1"/>
    <col min="7173" max="7173" width="17.6640625" style="1" customWidth="1"/>
    <col min="7174" max="7174" width="25.44140625" style="1" customWidth="1"/>
    <col min="7175" max="7175" width="17.6640625" style="1" customWidth="1"/>
    <col min="7176" max="7176" width="17.44140625" style="1" customWidth="1"/>
    <col min="7177" max="7428" width="9.109375" style="1"/>
    <col min="7429" max="7429" width="17.6640625" style="1" customWidth="1"/>
    <col min="7430" max="7430" width="25.44140625" style="1" customWidth="1"/>
    <col min="7431" max="7431" width="17.6640625" style="1" customWidth="1"/>
    <col min="7432" max="7432" width="17.44140625" style="1" customWidth="1"/>
    <col min="7433" max="7684" width="9.109375" style="1"/>
    <col min="7685" max="7685" width="17.6640625" style="1" customWidth="1"/>
    <col min="7686" max="7686" width="25.44140625" style="1" customWidth="1"/>
    <col min="7687" max="7687" width="17.6640625" style="1" customWidth="1"/>
    <col min="7688" max="7688" width="17.44140625" style="1" customWidth="1"/>
    <col min="7689" max="7940" width="9.109375" style="1"/>
    <col min="7941" max="7941" width="17.6640625" style="1" customWidth="1"/>
    <col min="7942" max="7942" width="25.44140625" style="1" customWidth="1"/>
    <col min="7943" max="7943" width="17.6640625" style="1" customWidth="1"/>
    <col min="7944" max="7944" width="17.44140625" style="1" customWidth="1"/>
    <col min="7945" max="8196" width="9.109375" style="1"/>
    <col min="8197" max="8197" width="17.6640625" style="1" customWidth="1"/>
    <col min="8198" max="8198" width="25.44140625" style="1" customWidth="1"/>
    <col min="8199" max="8199" width="17.6640625" style="1" customWidth="1"/>
    <col min="8200" max="8200" width="17.44140625" style="1" customWidth="1"/>
    <col min="8201" max="8452" width="9.109375" style="1"/>
    <col min="8453" max="8453" width="17.6640625" style="1" customWidth="1"/>
    <col min="8454" max="8454" width="25.44140625" style="1" customWidth="1"/>
    <col min="8455" max="8455" width="17.6640625" style="1" customWidth="1"/>
    <col min="8456" max="8456" width="17.44140625" style="1" customWidth="1"/>
    <col min="8457" max="8708" width="9.109375" style="1"/>
    <col min="8709" max="8709" width="17.6640625" style="1" customWidth="1"/>
    <col min="8710" max="8710" width="25.44140625" style="1" customWidth="1"/>
    <col min="8711" max="8711" width="17.6640625" style="1" customWidth="1"/>
    <col min="8712" max="8712" width="17.44140625" style="1" customWidth="1"/>
    <col min="8713" max="8964" width="9.109375" style="1"/>
    <col min="8965" max="8965" width="17.6640625" style="1" customWidth="1"/>
    <col min="8966" max="8966" width="25.44140625" style="1" customWidth="1"/>
    <col min="8967" max="8967" width="17.6640625" style="1" customWidth="1"/>
    <col min="8968" max="8968" width="17.44140625" style="1" customWidth="1"/>
    <col min="8969" max="9220" width="9.109375" style="1"/>
    <col min="9221" max="9221" width="17.6640625" style="1" customWidth="1"/>
    <col min="9222" max="9222" width="25.44140625" style="1" customWidth="1"/>
    <col min="9223" max="9223" width="17.6640625" style="1" customWidth="1"/>
    <col min="9224" max="9224" width="17.44140625" style="1" customWidth="1"/>
    <col min="9225" max="9476" width="9.109375" style="1"/>
    <col min="9477" max="9477" width="17.6640625" style="1" customWidth="1"/>
    <col min="9478" max="9478" width="25.44140625" style="1" customWidth="1"/>
    <col min="9479" max="9479" width="17.6640625" style="1" customWidth="1"/>
    <col min="9480" max="9480" width="17.44140625" style="1" customWidth="1"/>
    <col min="9481" max="9732" width="9.109375" style="1"/>
    <col min="9733" max="9733" width="17.6640625" style="1" customWidth="1"/>
    <col min="9734" max="9734" width="25.44140625" style="1" customWidth="1"/>
    <col min="9735" max="9735" width="17.6640625" style="1" customWidth="1"/>
    <col min="9736" max="9736" width="17.44140625" style="1" customWidth="1"/>
    <col min="9737" max="9988" width="9.109375" style="1"/>
    <col min="9989" max="9989" width="17.6640625" style="1" customWidth="1"/>
    <col min="9990" max="9990" width="25.44140625" style="1" customWidth="1"/>
    <col min="9991" max="9991" width="17.6640625" style="1" customWidth="1"/>
    <col min="9992" max="9992" width="17.44140625" style="1" customWidth="1"/>
    <col min="9993" max="10244" width="9.109375" style="1"/>
    <col min="10245" max="10245" width="17.6640625" style="1" customWidth="1"/>
    <col min="10246" max="10246" width="25.44140625" style="1" customWidth="1"/>
    <col min="10247" max="10247" width="17.6640625" style="1" customWidth="1"/>
    <col min="10248" max="10248" width="17.44140625" style="1" customWidth="1"/>
    <col min="10249" max="10500" width="9.109375" style="1"/>
    <col min="10501" max="10501" width="17.6640625" style="1" customWidth="1"/>
    <col min="10502" max="10502" width="25.44140625" style="1" customWidth="1"/>
    <col min="10503" max="10503" width="17.6640625" style="1" customWidth="1"/>
    <col min="10504" max="10504" width="17.44140625" style="1" customWidth="1"/>
    <col min="10505" max="10756" width="9.109375" style="1"/>
    <col min="10757" max="10757" width="17.6640625" style="1" customWidth="1"/>
    <col min="10758" max="10758" width="25.44140625" style="1" customWidth="1"/>
    <col min="10759" max="10759" width="17.6640625" style="1" customWidth="1"/>
    <col min="10760" max="10760" width="17.44140625" style="1" customWidth="1"/>
    <col min="10761" max="11012" width="9.109375" style="1"/>
    <col min="11013" max="11013" width="17.6640625" style="1" customWidth="1"/>
    <col min="11014" max="11014" width="25.44140625" style="1" customWidth="1"/>
    <col min="11015" max="11015" width="17.6640625" style="1" customWidth="1"/>
    <col min="11016" max="11016" width="17.44140625" style="1" customWidth="1"/>
    <col min="11017" max="11268" width="9.109375" style="1"/>
    <col min="11269" max="11269" width="17.6640625" style="1" customWidth="1"/>
    <col min="11270" max="11270" width="25.44140625" style="1" customWidth="1"/>
    <col min="11271" max="11271" width="17.6640625" style="1" customWidth="1"/>
    <col min="11272" max="11272" width="17.44140625" style="1" customWidth="1"/>
    <col min="11273" max="11524" width="9.109375" style="1"/>
    <col min="11525" max="11525" width="17.6640625" style="1" customWidth="1"/>
    <col min="11526" max="11526" width="25.44140625" style="1" customWidth="1"/>
    <col min="11527" max="11527" width="17.6640625" style="1" customWidth="1"/>
    <col min="11528" max="11528" width="17.44140625" style="1" customWidth="1"/>
    <col min="11529" max="11780" width="9.109375" style="1"/>
    <col min="11781" max="11781" width="17.6640625" style="1" customWidth="1"/>
    <col min="11782" max="11782" width="25.44140625" style="1" customWidth="1"/>
    <col min="11783" max="11783" width="17.6640625" style="1" customWidth="1"/>
    <col min="11784" max="11784" width="17.44140625" style="1" customWidth="1"/>
    <col min="11785" max="12036" width="9.109375" style="1"/>
    <col min="12037" max="12037" width="17.6640625" style="1" customWidth="1"/>
    <col min="12038" max="12038" width="25.44140625" style="1" customWidth="1"/>
    <col min="12039" max="12039" width="17.6640625" style="1" customWidth="1"/>
    <col min="12040" max="12040" width="17.44140625" style="1" customWidth="1"/>
    <col min="12041" max="12292" width="9.109375" style="1"/>
    <col min="12293" max="12293" width="17.6640625" style="1" customWidth="1"/>
    <col min="12294" max="12294" width="25.44140625" style="1" customWidth="1"/>
    <col min="12295" max="12295" width="17.6640625" style="1" customWidth="1"/>
    <col min="12296" max="12296" width="17.44140625" style="1" customWidth="1"/>
    <col min="12297" max="12548" width="9.109375" style="1"/>
    <col min="12549" max="12549" width="17.6640625" style="1" customWidth="1"/>
    <col min="12550" max="12550" width="25.44140625" style="1" customWidth="1"/>
    <col min="12551" max="12551" width="17.6640625" style="1" customWidth="1"/>
    <col min="12552" max="12552" width="17.44140625" style="1" customWidth="1"/>
    <col min="12553" max="12804" width="9.109375" style="1"/>
    <col min="12805" max="12805" width="17.6640625" style="1" customWidth="1"/>
    <col min="12806" max="12806" width="25.44140625" style="1" customWidth="1"/>
    <col min="12807" max="12807" width="17.6640625" style="1" customWidth="1"/>
    <col min="12808" max="12808" width="17.44140625" style="1" customWidth="1"/>
    <col min="12809" max="13060" width="9.109375" style="1"/>
    <col min="13061" max="13061" width="17.6640625" style="1" customWidth="1"/>
    <col min="13062" max="13062" width="25.44140625" style="1" customWidth="1"/>
    <col min="13063" max="13063" width="17.6640625" style="1" customWidth="1"/>
    <col min="13064" max="13064" width="17.44140625" style="1" customWidth="1"/>
    <col min="13065" max="13316" width="9.109375" style="1"/>
    <col min="13317" max="13317" width="17.6640625" style="1" customWidth="1"/>
    <col min="13318" max="13318" width="25.44140625" style="1" customWidth="1"/>
    <col min="13319" max="13319" width="17.6640625" style="1" customWidth="1"/>
    <col min="13320" max="13320" width="17.44140625" style="1" customWidth="1"/>
    <col min="13321" max="13572" width="9.109375" style="1"/>
    <col min="13573" max="13573" width="17.6640625" style="1" customWidth="1"/>
    <col min="13574" max="13574" width="25.44140625" style="1" customWidth="1"/>
    <col min="13575" max="13575" width="17.6640625" style="1" customWidth="1"/>
    <col min="13576" max="13576" width="17.44140625" style="1" customWidth="1"/>
    <col min="13577" max="13828" width="9.109375" style="1"/>
    <col min="13829" max="13829" width="17.6640625" style="1" customWidth="1"/>
    <col min="13830" max="13830" width="25.44140625" style="1" customWidth="1"/>
    <col min="13831" max="13831" width="17.6640625" style="1" customWidth="1"/>
    <col min="13832" max="13832" width="17.44140625" style="1" customWidth="1"/>
    <col min="13833" max="14084" width="9.109375" style="1"/>
    <col min="14085" max="14085" width="17.6640625" style="1" customWidth="1"/>
    <col min="14086" max="14086" width="25.44140625" style="1" customWidth="1"/>
    <col min="14087" max="14087" width="17.6640625" style="1" customWidth="1"/>
    <col min="14088" max="14088" width="17.44140625" style="1" customWidth="1"/>
    <col min="14089" max="14340" width="9.109375" style="1"/>
    <col min="14341" max="14341" width="17.6640625" style="1" customWidth="1"/>
    <col min="14342" max="14342" width="25.44140625" style="1" customWidth="1"/>
    <col min="14343" max="14343" width="17.6640625" style="1" customWidth="1"/>
    <col min="14344" max="14344" width="17.44140625" style="1" customWidth="1"/>
    <col min="14345" max="14596" width="9.109375" style="1"/>
    <col min="14597" max="14597" width="17.6640625" style="1" customWidth="1"/>
    <col min="14598" max="14598" width="25.44140625" style="1" customWidth="1"/>
    <col min="14599" max="14599" width="17.6640625" style="1" customWidth="1"/>
    <col min="14600" max="14600" width="17.44140625" style="1" customWidth="1"/>
    <col min="14601" max="14852" width="9.109375" style="1"/>
    <col min="14853" max="14853" width="17.6640625" style="1" customWidth="1"/>
    <col min="14854" max="14854" width="25.44140625" style="1" customWidth="1"/>
    <col min="14855" max="14855" width="17.6640625" style="1" customWidth="1"/>
    <col min="14856" max="14856" width="17.44140625" style="1" customWidth="1"/>
    <col min="14857" max="15108" width="9.109375" style="1"/>
    <col min="15109" max="15109" width="17.6640625" style="1" customWidth="1"/>
    <col min="15110" max="15110" width="25.44140625" style="1" customWidth="1"/>
    <col min="15111" max="15111" width="17.6640625" style="1" customWidth="1"/>
    <col min="15112" max="15112" width="17.44140625" style="1" customWidth="1"/>
    <col min="15113" max="15364" width="9.109375" style="1"/>
    <col min="15365" max="15365" width="17.6640625" style="1" customWidth="1"/>
    <col min="15366" max="15366" width="25.44140625" style="1" customWidth="1"/>
    <col min="15367" max="15367" width="17.6640625" style="1" customWidth="1"/>
    <col min="15368" max="15368" width="17.44140625" style="1" customWidth="1"/>
    <col min="15369" max="15620" width="9.109375" style="1"/>
    <col min="15621" max="15621" width="17.6640625" style="1" customWidth="1"/>
    <col min="15622" max="15622" width="25.44140625" style="1" customWidth="1"/>
    <col min="15623" max="15623" width="17.6640625" style="1" customWidth="1"/>
    <col min="15624" max="15624" width="17.44140625" style="1" customWidth="1"/>
    <col min="15625" max="15876" width="9.109375" style="1"/>
    <col min="15877" max="15877" width="17.6640625" style="1" customWidth="1"/>
    <col min="15878" max="15878" width="25.44140625" style="1" customWidth="1"/>
    <col min="15879" max="15879" width="17.6640625" style="1" customWidth="1"/>
    <col min="15880" max="15880" width="17.44140625" style="1" customWidth="1"/>
    <col min="15881" max="16132" width="9.109375" style="1"/>
    <col min="16133" max="16133" width="17.6640625" style="1" customWidth="1"/>
    <col min="16134" max="16134" width="25.44140625" style="1" customWidth="1"/>
    <col min="16135" max="16135" width="17.6640625" style="1" customWidth="1"/>
    <col min="16136" max="16136" width="17.44140625" style="1" customWidth="1"/>
    <col min="16137" max="16384" width="9.109375" style="1"/>
  </cols>
  <sheetData>
    <row r="2" spans="1:34" x14ac:dyDescent="0.25">
      <c r="A2" s="2"/>
      <c r="B2" s="3"/>
    </row>
    <row r="3" spans="1:34" ht="12" customHeight="1" thickBot="1" x14ac:dyDescent="0.3"/>
    <row r="4" spans="1:34" ht="42.6" customHeight="1" thickBot="1" x14ac:dyDescent="0.3">
      <c r="A4" s="99" t="s">
        <v>0</v>
      </c>
      <c r="B4" s="100"/>
      <c r="C4" s="100"/>
      <c r="D4" s="101"/>
      <c r="I4" s="99" t="s">
        <v>28</v>
      </c>
      <c r="J4" s="100"/>
      <c r="K4" s="100"/>
      <c r="L4" s="100"/>
      <c r="M4" s="100"/>
      <c r="N4" s="100"/>
      <c r="O4" s="100"/>
      <c r="P4" s="100"/>
      <c r="Q4" s="100"/>
      <c r="R4" s="101"/>
      <c r="T4" s="103" t="s">
        <v>43</v>
      </c>
      <c r="U4" s="104"/>
      <c r="W4" s="105" t="s">
        <v>33</v>
      </c>
      <c r="X4" s="106"/>
      <c r="Y4" s="106"/>
      <c r="Z4" s="106"/>
      <c r="AA4" s="106"/>
      <c r="AB4" s="106"/>
      <c r="AC4" s="106"/>
      <c r="AD4" s="106"/>
      <c r="AE4" s="106"/>
      <c r="AF4" s="106"/>
      <c r="AG4" s="107"/>
    </row>
    <row r="5" spans="1:34" ht="41.4" x14ac:dyDescent="0.25">
      <c r="A5" s="67" t="s">
        <v>1</v>
      </c>
      <c r="B5" s="69" t="s">
        <v>2</v>
      </c>
      <c r="C5" s="69" t="s">
        <v>3</v>
      </c>
      <c r="D5" s="70" t="s">
        <v>4</v>
      </c>
      <c r="I5" s="71" t="s">
        <v>1</v>
      </c>
      <c r="J5" s="72" t="s">
        <v>2</v>
      </c>
      <c r="K5" s="72" t="s">
        <v>3</v>
      </c>
      <c r="L5" s="72" t="s">
        <v>34</v>
      </c>
      <c r="M5" s="77" t="s">
        <v>35</v>
      </c>
      <c r="N5" s="72" t="s">
        <v>36</v>
      </c>
      <c r="O5" s="72" t="s">
        <v>34</v>
      </c>
      <c r="P5" s="77" t="s">
        <v>35</v>
      </c>
      <c r="Q5" s="72" t="s">
        <v>36</v>
      </c>
      <c r="R5" s="73" t="s">
        <v>34</v>
      </c>
      <c r="T5" s="71" t="s">
        <v>44</v>
      </c>
      <c r="U5" s="84">
        <f>Y16+Y15+Y12+Y11+Y8+Y7+Y6</f>
        <v>29000</v>
      </c>
      <c r="W5" s="71" t="s">
        <v>1</v>
      </c>
      <c r="X5" s="72" t="s">
        <v>2</v>
      </c>
      <c r="Y5" s="72" t="s">
        <v>3</v>
      </c>
      <c r="Z5" s="73" t="s">
        <v>34</v>
      </c>
      <c r="AA5" s="74" t="s">
        <v>37</v>
      </c>
      <c r="AB5" s="75" t="s">
        <v>35</v>
      </c>
      <c r="AC5" s="76" t="s">
        <v>36</v>
      </c>
      <c r="AD5" s="72" t="s">
        <v>34</v>
      </c>
      <c r="AE5" s="77" t="s">
        <v>35</v>
      </c>
      <c r="AF5" s="72" t="s">
        <v>36</v>
      </c>
      <c r="AG5" s="78" t="s">
        <v>53</v>
      </c>
    </row>
    <row r="6" spans="1:34" ht="14.4" thickBot="1" x14ac:dyDescent="0.3">
      <c r="A6" s="82" t="s">
        <v>5</v>
      </c>
      <c r="B6" s="4" t="s">
        <v>6</v>
      </c>
      <c r="C6" s="5">
        <v>1000</v>
      </c>
      <c r="D6" s="23">
        <v>1</v>
      </c>
      <c r="I6" s="22" t="s">
        <v>5</v>
      </c>
      <c r="J6" s="4" t="s">
        <v>6</v>
      </c>
      <c r="K6" s="5">
        <v>1000</v>
      </c>
      <c r="L6" s="4">
        <v>1</v>
      </c>
      <c r="M6" s="19"/>
      <c r="N6" s="4"/>
      <c r="O6" s="4"/>
      <c r="P6" s="20">
        <v>1000</v>
      </c>
      <c r="Q6" s="21">
        <v>1000</v>
      </c>
      <c r="R6" s="25">
        <v>1</v>
      </c>
      <c r="T6" s="85" t="s">
        <v>45</v>
      </c>
      <c r="U6" s="60">
        <f>AA16+AA15+AA12+AA11+AA8+AA7+AA6</f>
        <v>30470</v>
      </c>
      <c r="W6" s="22" t="s">
        <v>5</v>
      </c>
      <c r="X6" s="4" t="s">
        <v>6</v>
      </c>
      <c r="Y6" s="5">
        <v>1000</v>
      </c>
      <c r="Z6" s="23">
        <v>1</v>
      </c>
      <c r="AA6" s="18">
        <f>Z6*Y6</f>
        <v>1000</v>
      </c>
      <c r="AB6" s="24"/>
      <c r="AC6" s="17"/>
      <c r="AD6" s="4"/>
      <c r="AE6" s="19">
        <v>1000</v>
      </c>
      <c r="AF6" s="4">
        <v>1000</v>
      </c>
      <c r="AG6" s="23">
        <v>1</v>
      </c>
    </row>
    <row r="7" spans="1:34" x14ac:dyDescent="0.25">
      <c r="A7" s="82" t="s">
        <v>7</v>
      </c>
      <c r="B7" s="4" t="s">
        <v>8</v>
      </c>
      <c r="C7" s="5">
        <v>5000</v>
      </c>
      <c r="D7" s="23">
        <v>1.05</v>
      </c>
      <c r="I7" s="22" t="s">
        <v>7</v>
      </c>
      <c r="J7" s="4" t="s">
        <v>8</v>
      </c>
      <c r="K7" s="5">
        <v>5000</v>
      </c>
      <c r="L7" s="4">
        <v>1.05</v>
      </c>
      <c r="M7" s="19"/>
      <c r="N7" s="4"/>
      <c r="O7" s="4"/>
      <c r="P7" s="26">
        <v>1000</v>
      </c>
      <c r="Q7" s="27">
        <v>1000</v>
      </c>
      <c r="R7" s="79">
        <v>1</v>
      </c>
      <c r="T7" s="85" t="s">
        <v>46</v>
      </c>
      <c r="U7" s="60">
        <f>U6/U5</f>
        <v>1.0506896551724139</v>
      </c>
      <c r="W7" s="22" t="s">
        <v>7</v>
      </c>
      <c r="X7" s="4" t="s">
        <v>8</v>
      </c>
      <c r="Y7" s="5">
        <v>5000</v>
      </c>
      <c r="Z7" s="23">
        <v>1.05</v>
      </c>
      <c r="AA7" s="18">
        <f>Z7*Y7</f>
        <v>5250</v>
      </c>
      <c r="AB7" s="24"/>
      <c r="AC7" s="17"/>
      <c r="AD7" s="4"/>
      <c r="AE7" s="19">
        <f>Z7*Y7+AE6</f>
        <v>6250</v>
      </c>
      <c r="AF7" s="4">
        <v>6000</v>
      </c>
      <c r="AG7" s="30">
        <f>AE7/AF7</f>
        <v>1.0416666666666667</v>
      </c>
      <c r="AH7" s="61" t="s">
        <v>54</v>
      </c>
    </row>
    <row r="8" spans="1:34" ht="14.4" thickBot="1" x14ac:dyDescent="0.3">
      <c r="A8" s="82" t="s">
        <v>9</v>
      </c>
      <c r="B8" s="4" t="s">
        <v>8</v>
      </c>
      <c r="C8" s="5">
        <v>6000</v>
      </c>
      <c r="D8" s="23">
        <v>1.02</v>
      </c>
      <c r="I8" s="22"/>
      <c r="J8" s="4"/>
      <c r="K8" s="5"/>
      <c r="L8" s="4"/>
      <c r="M8" s="19"/>
      <c r="N8" s="4"/>
      <c r="O8" s="29"/>
      <c r="P8" s="20">
        <f>Q8*R8</f>
        <v>5250</v>
      </c>
      <c r="Q8" s="21">
        <v>5000</v>
      </c>
      <c r="R8" s="80">
        <v>1.05</v>
      </c>
      <c r="T8" s="85" t="s">
        <v>47</v>
      </c>
      <c r="U8" s="86">
        <f>Y17+Y13+Y9</f>
        <v>26000</v>
      </c>
      <c r="W8" s="22" t="s">
        <v>9</v>
      </c>
      <c r="X8" s="4" t="s">
        <v>8</v>
      </c>
      <c r="Y8" s="5">
        <v>6000</v>
      </c>
      <c r="Z8" s="23">
        <v>1.02</v>
      </c>
      <c r="AA8" s="18">
        <f t="shared" ref="AA8:AA17" si="0">Z8*Y8</f>
        <v>6120</v>
      </c>
      <c r="AB8" s="24"/>
      <c r="AC8" s="17"/>
      <c r="AD8" s="4"/>
      <c r="AE8" s="19">
        <f>AE7+(Y8*Z8)</f>
        <v>12370</v>
      </c>
      <c r="AF8" s="4">
        <v>12000</v>
      </c>
      <c r="AG8" s="30">
        <f>AE8/AF8</f>
        <v>1.0308333333333333</v>
      </c>
      <c r="AH8" s="61" t="s">
        <v>55</v>
      </c>
    </row>
    <row r="9" spans="1:34" x14ac:dyDescent="0.25">
      <c r="A9" s="82" t="s">
        <v>10</v>
      </c>
      <c r="B9" s="4" t="s">
        <v>11</v>
      </c>
      <c r="C9" s="5">
        <v>4000</v>
      </c>
      <c r="D9" s="31">
        <v>1.2</v>
      </c>
      <c r="I9" s="22" t="s">
        <v>9</v>
      </c>
      <c r="J9" s="4" t="s">
        <v>8</v>
      </c>
      <c r="K9" s="5">
        <v>6000</v>
      </c>
      <c r="L9" s="4">
        <v>1.02</v>
      </c>
      <c r="M9" s="19"/>
      <c r="N9" s="4"/>
      <c r="O9" s="4"/>
      <c r="P9" s="26">
        <v>1000</v>
      </c>
      <c r="Q9" s="27">
        <v>1000</v>
      </c>
      <c r="R9" s="79">
        <v>1</v>
      </c>
      <c r="T9" s="87" t="s">
        <v>48</v>
      </c>
      <c r="U9" s="60">
        <f>AA17+AA13+AA9</f>
        <v>31700</v>
      </c>
      <c r="W9" s="22" t="s">
        <v>10</v>
      </c>
      <c r="X9" s="4" t="s">
        <v>11</v>
      </c>
      <c r="Y9" s="5">
        <v>4000</v>
      </c>
      <c r="Z9" s="31">
        <v>1.2</v>
      </c>
      <c r="AA9" s="18">
        <f t="shared" si="0"/>
        <v>4800</v>
      </c>
      <c r="AB9" s="24">
        <f>Y9*AG8</f>
        <v>4123.333333333333</v>
      </c>
      <c r="AC9" s="17">
        <v>4000</v>
      </c>
      <c r="AD9" s="58">
        <f>AG9</f>
        <v>1.0308333333333333</v>
      </c>
      <c r="AE9" s="19">
        <f>AF9*AG9</f>
        <v>8246.6666666666661</v>
      </c>
      <c r="AF9" s="4">
        <v>8000</v>
      </c>
      <c r="AG9" s="30">
        <f>AE8/AF8</f>
        <v>1.0308333333333333</v>
      </c>
    </row>
    <row r="10" spans="1:34" x14ac:dyDescent="0.25">
      <c r="A10" s="82" t="s">
        <v>12</v>
      </c>
      <c r="B10" s="4" t="s">
        <v>8</v>
      </c>
      <c r="C10" s="5">
        <v>5000</v>
      </c>
      <c r="D10" s="23">
        <v>1</v>
      </c>
      <c r="I10" s="22"/>
      <c r="J10" s="4"/>
      <c r="K10" s="5"/>
      <c r="L10" s="4"/>
      <c r="M10" s="19"/>
      <c r="N10" s="4"/>
      <c r="O10" s="29"/>
      <c r="P10" s="19">
        <f>Q10*R10</f>
        <v>5250</v>
      </c>
      <c r="Q10" s="4">
        <v>5000</v>
      </c>
      <c r="R10" s="33">
        <v>1.05</v>
      </c>
      <c r="T10" s="85" t="s">
        <v>49</v>
      </c>
      <c r="U10" s="60">
        <f>U8*U7</f>
        <v>27317.931034482761</v>
      </c>
      <c r="W10" s="22"/>
      <c r="X10" s="4"/>
      <c r="Y10" s="5" t="s">
        <v>38</v>
      </c>
      <c r="Z10" s="32">
        <f>AB10-AB9</f>
        <v>676.66666666666697</v>
      </c>
      <c r="AA10" s="18"/>
      <c r="AB10" s="24">
        <f>Y9*Z9</f>
        <v>4800</v>
      </c>
      <c r="AC10" s="17">
        <v>4000</v>
      </c>
      <c r="AD10" s="4">
        <f>Z9</f>
        <v>1.2</v>
      </c>
      <c r="AE10" s="19"/>
      <c r="AF10" s="4"/>
      <c r="AG10" s="33"/>
    </row>
    <row r="11" spans="1:34" ht="14.4" thickBot="1" x14ac:dyDescent="0.3">
      <c r="A11" s="82" t="s">
        <v>13</v>
      </c>
      <c r="B11" s="4" t="s">
        <v>8</v>
      </c>
      <c r="C11" s="5">
        <v>4000</v>
      </c>
      <c r="D11" s="23">
        <v>1.05</v>
      </c>
      <c r="I11" s="22"/>
      <c r="J11" s="4"/>
      <c r="K11" s="5"/>
      <c r="L11" s="4"/>
      <c r="M11" s="34"/>
      <c r="N11" s="4"/>
      <c r="O11" s="29"/>
      <c r="P11" s="35">
        <f>Q11*R11</f>
        <v>6120</v>
      </c>
      <c r="Q11" s="21">
        <v>6000</v>
      </c>
      <c r="R11" s="80">
        <v>1.02</v>
      </c>
      <c r="T11" s="85" t="s">
        <v>39</v>
      </c>
      <c r="U11" s="88">
        <f>U9-U10</f>
        <v>4382.0689655172391</v>
      </c>
      <c r="W11" s="22" t="s">
        <v>12</v>
      </c>
      <c r="X11" s="4" t="s">
        <v>8</v>
      </c>
      <c r="Y11" s="5">
        <v>5000</v>
      </c>
      <c r="Z11" s="23">
        <v>1</v>
      </c>
      <c r="AA11" s="18">
        <f t="shared" si="0"/>
        <v>5000</v>
      </c>
      <c r="AB11" s="24"/>
      <c r="AC11" s="17"/>
      <c r="AD11" s="29"/>
      <c r="AE11" s="19">
        <f>AE9+Y11*Z11</f>
        <v>13246.666666666666</v>
      </c>
      <c r="AF11" s="4">
        <v>13000</v>
      </c>
      <c r="AG11" s="36">
        <f>AE11/AF11</f>
        <v>1.018974358974359</v>
      </c>
      <c r="AH11" s="61" t="s">
        <v>56</v>
      </c>
    </row>
    <row r="12" spans="1:34" x14ac:dyDescent="0.25">
      <c r="A12" s="82" t="s">
        <v>14</v>
      </c>
      <c r="B12" s="4" t="s">
        <v>11</v>
      </c>
      <c r="C12" s="5">
        <v>12000</v>
      </c>
      <c r="D12" s="31">
        <v>1.2</v>
      </c>
      <c r="I12" s="22" t="s">
        <v>10</v>
      </c>
      <c r="J12" s="4" t="s">
        <v>11</v>
      </c>
      <c r="K12" s="5">
        <v>4000</v>
      </c>
      <c r="L12" s="6">
        <v>1.2</v>
      </c>
      <c r="M12" s="19">
        <v>1000</v>
      </c>
      <c r="N12" s="4">
        <v>1000</v>
      </c>
      <c r="O12" s="4">
        <v>1</v>
      </c>
      <c r="P12" s="26">
        <v>0</v>
      </c>
      <c r="Q12" s="27">
        <v>0</v>
      </c>
      <c r="R12" s="38">
        <v>0</v>
      </c>
      <c r="T12" s="85" t="s">
        <v>50</v>
      </c>
      <c r="U12" s="89">
        <f>U5-U8</f>
        <v>3000</v>
      </c>
      <c r="W12" s="22" t="s">
        <v>13</v>
      </c>
      <c r="X12" s="4" t="s">
        <v>8</v>
      </c>
      <c r="Y12" s="5">
        <v>4000</v>
      </c>
      <c r="Z12" s="23">
        <v>1.05</v>
      </c>
      <c r="AA12" s="18">
        <f t="shared" si="0"/>
        <v>4200</v>
      </c>
      <c r="AB12" s="24"/>
      <c r="AC12" s="17"/>
      <c r="AD12" s="29"/>
      <c r="AE12" s="19">
        <f>AE11+Z12*Y12</f>
        <v>17446.666666666664</v>
      </c>
      <c r="AF12" s="5">
        <f>AF11+Y12</f>
        <v>17000</v>
      </c>
      <c r="AG12" s="36">
        <f>AE12/AF12</f>
        <v>1.0262745098039214</v>
      </c>
    </row>
    <row r="13" spans="1:34" ht="14.4" thickBot="1" x14ac:dyDescent="0.3">
      <c r="A13" s="82" t="s">
        <v>15</v>
      </c>
      <c r="B13" s="4" t="s">
        <v>8</v>
      </c>
      <c r="C13" s="5">
        <v>3000</v>
      </c>
      <c r="D13" s="23">
        <v>1.1000000000000001</v>
      </c>
      <c r="I13" s="22"/>
      <c r="J13" s="4"/>
      <c r="K13" s="5"/>
      <c r="L13" s="6">
        <v>4800</v>
      </c>
      <c r="M13" s="19">
        <f>N13*O13</f>
        <v>3150</v>
      </c>
      <c r="N13" s="4">
        <v>3000</v>
      </c>
      <c r="O13" s="29">
        <v>1.05</v>
      </c>
      <c r="P13" s="26">
        <f>P8-M13</f>
        <v>2100</v>
      </c>
      <c r="Q13" s="27">
        <f>Q8-N13</f>
        <v>2000</v>
      </c>
      <c r="R13" s="38">
        <f>R8</f>
        <v>1.05</v>
      </c>
      <c r="T13" s="90" t="s">
        <v>51</v>
      </c>
      <c r="U13" s="91">
        <f>U12*U7</f>
        <v>3152.0689655172414</v>
      </c>
      <c r="W13" s="22" t="s">
        <v>14</v>
      </c>
      <c r="X13" s="4" t="s">
        <v>11</v>
      </c>
      <c r="Y13" s="5">
        <v>12000</v>
      </c>
      <c r="Z13" s="31">
        <v>1.2</v>
      </c>
      <c r="AA13" s="18">
        <f t="shared" si="0"/>
        <v>14400</v>
      </c>
      <c r="AB13" s="28">
        <f>Y13*AG12</f>
        <v>12315.294117647058</v>
      </c>
      <c r="AC13" s="62">
        <v>12000</v>
      </c>
      <c r="AD13" s="29"/>
      <c r="AE13" s="19">
        <f>AF13*AG13</f>
        <v>5131.3725490196075</v>
      </c>
      <c r="AF13" s="4">
        <v>5000</v>
      </c>
      <c r="AG13" s="36">
        <f>AG12</f>
        <v>1.0262745098039214</v>
      </c>
    </row>
    <row r="14" spans="1:34" ht="14.4" thickBot="1" x14ac:dyDescent="0.3">
      <c r="A14" s="82" t="s">
        <v>16</v>
      </c>
      <c r="B14" s="4" t="s">
        <v>8</v>
      </c>
      <c r="C14" s="5">
        <v>5000</v>
      </c>
      <c r="D14" s="23">
        <v>1.1200000000000001</v>
      </c>
      <c r="I14" s="22"/>
      <c r="J14" s="4"/>
      <c r="K14" s="5" t="s">
        <v>39</v>
      </c>
      <c r="L14" s="39">
        <f>L13-(M13+M12)</f>
        <v>650</v>
      </c>
      <c r="M14" s="40">
        <f>SUM(M12:M13)</f>
        <v>4150</v>
      </c>
      <c r="N14" s="4"/>
      <c r="O14" s="29"/>
      <c r="P14" s="35">
        <f>Q14*R14</f>
        <v>6120</v>
      </c>
      <c r="Q14" s="21">
        <v>6000</v>
      </c>
      <c r="R14" s="80">
        <v>1.02</v>
      </c>
      <c r="W14" s="22"/>
      <c r="X14" s="4"/>
      <c r="Y14" s="5" t="s">
        <v>39</v>
      </c>
      <c r="Z14" s="32">
        <f>AB14-AB13</f>
        <v>2084.7058823529424</v>
      </c>
      <c r="AA14" s="18"/>
      <c r="AB14" s="28">
        <f>Z13*Y13</f>
        <v>14400</v>
      </c>
      <c r="AC14" s="62">
        <v>12000</v>
      </c>
      <c r="AD14" s="29"/>
      <c r="AE14" s="19"/>
      <c r="AF14" s="4"/>
      <c r="AG14" s="36"/>
    </row>
    <row r="15" spans="1:34" ht="14.4" thickBot="1" x14ac:dyDescent="0.3">
      <c r="A15" s="48" t="s">
        <v>17</v>
      </c>
      <c r="B15" s="21" t="s">
        <v>11</v>
      </c>
      <c r="C15" s="54">
        <v>10000</v>
      </c>
      <c r="D15" s="102">
        <v>1.25</v>
      </c>
      <c r="I15" s="22" t="s">
        <v>12</v>
      </c>
      <c r="J15" s="4" t="s">
        <v>8</v>
      </c>
      <c r="K15" s="5">
        <v>5000</v>
      </c>
      <c r="L15" s="4">
        <v>1</v>
      </c>
      <c r="M15" s="26"/>
      <c r="N15" s="4"/>
      <c r="O15" s="29"/>
      <c r="P15" s="26">
        <v>2100</v>
      </c>
      <c r="Q15" s="27">
        <v>2000</v>
      </c>
      <c r="R15" s="38">
        <f>R10</f>
        <v>1.05</v>
      </c>
      <c r="W15" s="22" t="s">
        <v>15</v>
      </c>
      <c r="X15" s="4" t="s">
        <v>8</v>
      </c>
      <c r="Y15" s="5">
        <v>3000</v>
      </c>
      <c r="Z15" s="23">
        <v>1.1000000000000001</v>
      </c>
      <c r="AA15" s="18">
        <f t="shared" si="0"/>
        <v>3300.0000000000005</v>
      </c>
      <c r="AB15" s="24"/>
      <c r="AC15" s="17"/>
      <c r="AD15" s="29"/>
      <c r="AE15" s="19">
        <f>+AE13+Y15*Z15</f>
        <v>8431.3725490196084</v>
      </c>
      <c r="AF15" s="5">
        <f>AF13+Y15</f>
        <v>8000</v>
      </c>
      <c r="AG15" s="36">
        <f>+AE15/AF15</f>
        <v>1.053921568627451</v>
      </c>
    </row>
    <row r="16" spans="1:34" x14ac:dyDescent="0.25">
      <c r="A16" s="1" t="s">
        <v>18</v>
      </c>
      <c r="I16" s="22"/>
      <c r="J16" s="4"/>
      <c r="K16" s="5"/>
      <c r="L16" s="4"/>
      <c r="M16" s="19"/>
      <c r="N16" s="4"/>
      <c r="O16" s="29"/>
      <c r="P16" s="34">
        <f>Q16*R16</f>
        <v>6120</v>
      </c>
      <c r="Q16" s="4">
        <v>6000</v>
      </c>
      <c r="R16" s="33">
        <v>1.02</v>
      </c>
      <c r="W16" s="22" t="s">
        <v>16</v>
      </c>
      <c r="X16" s="4" t="s">
        <v>8</v>
      </c>
      <c r="Y16" s="5">
        <v>5000</v>
      </c>
      <c r="Z16" s="23">
        <v>1.1200000000000001</v>
      </c>
      <c r="AA16" s="18">
        <f t="shared" si="0"/>
        <v>5600.0000000000009</v>
      </c>
      <c r="AB16" s="24"/>
      <c r="AC16" s="17"/>
      <c r="AD16" s="29"/>
      <c r="AE16" s="19">
        <f>+AE15+Y16*Z16</f>
        <v>14031.372549019608</v>
      </c>
      <c r="AF16" s="5">
        <f>+AF15+Y16</f>
        <v>13000</v>
      </c>
      <c r="AG16" s="36">
        <f>+AE16/AF16</f>
        <v>1.0793363499245852</v>
      </c>
    </row>
    <row r="17" spans="1:33" ht="14.4" thickBot="1" x14ac:dyDescent="0.3">
      <c r="A17" s="1" t="s">
        <v>19</v>
      </c>
      <c r="I17" s="22"/>
      <c r="J17" s="4"/>
      <c r="K17" s="5"/>
      <c r="L17" s="4"/>
      <c r="M17" s="19"/>
      <c r="N17" s="4"/>
      <c r="O17" s="29"/>
      <c r="P17" s="20">
        <v>5000</v>
      </c>
      <c r="Q17" s="21">
        <v>5000</v>
      </c>
      <c r="R17" s="80">
        <v>1</v>
      </c>
      <c r="W17" s="22" t="s">
        <v>17</v>
      </c>
      <c r="X17" s="4" t="s">
        <v>11</v>
      </c>
      <c r="Y17" s="5">
        <v>10000</v>
      </c>
      <c r="Z17" s="31">
        <v>1.25</v>
      </c>
      <c r="AA17" s="18">
        <f t="shared" si="0"/>
        <v>12500</v>
      </c>
      <c r="AB17" s="24">
        <f>Y17*AG16</f>
        <v>10793.363499245852</v>
      </c>
      <c r="AC17" s="17"/>
      <c r="AD17" s="29"/>
      <c r="AE17" s="57"/>
      <c r="AF17" s="4"/>
      <c r="AG17" s="36"/>
    </row>
    <row r="18" spans="1:33" ht="14.4" thickBot="1" x14ac:dyDescent="0.3">
      <c r="A18" s="1" t="s">
        <v>20</v>
      </c>
      <c r="I18" s="22" t="s">
        <v>13</v>
      </c>
      <c r="J18" s="4" t="s">
        <v>8</v>
      </c>
      <c r="K18" s="5">
        <v>4000</v>
      </c>
      <c r="L18" s="4">
        <v>1.05</v>
      </c>
      <c r="M18" s="19"/>
      <c r="N18" s="4"/>
      <c r="O18" s="29"/>
      <c r="P18" s="26">
        <v>2100</v>
      </c>
      <c r="Q18" s="27">
        <v>2000</v>
      </c>
      <c r="R18" s="38">
        <f>R13</f>
        <v>1.05</v>
      </c>
      <c r="W18" s="41"/>
      <c r="X18" s="42"/>
      <c r="Y18" s="43" t="s">
        <v>39</v>
      </c>
      <c r="Z18" s="44">
        <f>AB18-AB17</f>
        <v>1706.6365007541481</v>
      </c>
      <c r="AA18" s="64"/>
      <c r="AB18" s="45">
        <f>Y17*Z17</f>
        <v>12500</v>
      </c>
      <c r="AC18" s="42"/>
      <c r="AD18" s="29"/>
      <c r="AE18" s="57"/>
      <c r="AF18" s="4"/>
      <c r="AG18" s="36"/>
    </row>
    <row r="19" spans="1:33" ht="14.4" thickBot="1" x14ac:dyDescent="0.3">
      <c r="A19" s="1" t="s">
        <v>21</v>
      </c>
      <c r="I19" s="22"/>
      <c r="J19" s="4"/>
      <c r="K19" s="5"/>
      <c r="L19" s="4"/>
      <c r="M19" s="19"/>
      <c r="N19" s="4"/>
      <c r="O19" s="29"/>
      <c r="P19" s="34">
        <f>Q19*R19</f>
        <v>6120</v>
      </c>
      <c r="Q19" s="4">
        <v>6000</v>
      </c>
      <c r="R19" s="33">
        <v>1.02</v>
      </c>
      <c r="W19" s="48"/>
      <c r="X19" s="49"/>
      <c r="Y19" s="50" t="s">
        <v>40</v>
      </c>
      <c r="Z19" s="51">
        <f>Z18+Z14+Z10</f>
        <v>4468.0090497737574</v>
      </c>
      <c r="AA19" s="52" t="s">
        <v>41</v>
      </c>
      <c r="AB19" s="53">
        <f>AB9+AB13+AB17</f>
        <v>27231.990950226245</v>
      </c>
      <c r="AC19" s="63"/>
      <c r="AD19" s="21" t="s">
        <v>42</v>
      </c>
      <c r="AE19" s="65">
        <f>AF19*AG16</f>
        <v>3238.0090497737556</v>
      </c>
      <c r="AF19" s="54">
        <f>AF16-Y17</f>
        <v>3000</v>
      </c>
      <c r="AG19" s="66">
        <f>AG16</f>
        <v>1.0793363499245852</v>
      </c>
    </row>
    <row r="20" spans="1:33" x14ac:dyDescent="0.25">
      <c r="A20" s="1" t="s">
        <v>22</v>
      </c>
      <c r="I20" s="22"/>
      <c r="J20" s="4"/>
      <c r="K20" s="5"/>
      <c r="L20" s="4"/>
      <c r="M20" s="19"/>
      <c r="N20" s="4"/>
      <c r="O20" s="29"/>
      <c r="P20" s="19">
        <v>5000</v>
      </c>
      <c r="Q20" s="4">
        <v>5000</v>
      </c>
      <c r="R20" s="33">
        <v>1</v>
      </c>
    </row>
    <row r="21" spans="1:33" ht="14.4" thickBot="1" x14ac:dyDescent="0.3">
      <c r="A21" s="1" t="s">
        <v>23</v>
      </c>
      <c r="I21" s="22"/>
      <c r="J21" s="4"/>
      <c r="K21" s="5"/>
      <c r="L21" s="4"/>
      <c r="M21" s="19"/>
      <c r="N21" s="4"/>
      <c r="O21" s="29"/>
      <c r="P21" s="20">
        <f>Q21*R21</f>
        <v>4200</v>
      </c>
      <c r="Q21" s="21">
        <v>4000</v>
      </c>
      <c r="R21" s="80">
        <v>1.05</v>
      </c>
    </row>
    <row r="22" spans="1:33" ht="14.4" thickBot="1" x14ac:dyDescent="0.3">
      <c r="I22" s="22"/>
      <c r="J22" s="4" t="s">
        <v>11</v>
      </c>
      <c r="K22" s="5">
        <v>12000</v>
      </c>
      <c r="L22" s="6">
        <v>1.2</v>
      </c>
      <c r="M22" s="26">
        <v>2100</v>
      </c>
      <c r="N22" s="27">
        <v>2000</v>
      </c>
      <c r="O22" s="37">
        <v>1.05</v>
      </c>
      <c r="P22" s="26">
        <v>0</v>
      </c>
      <c r="Q22" s="27">
        <v>0</v>
      </c>
      <c r="R22" s="38">
        <v>0</v>
      </c>
    </row>
    <row r="23" spans="1:33" ht="41.4" x14ac:dyDescent="0.25">
      <c r="A23" s="67" t="s">
        <v>24</v>
      </c>
      <c r="B23" s="68" t="s">
        <v>25</v>
      </c>
      <c r="C23" s="69" t="s">
        <v>26</v>
      </c>
      <c r="D23" s="70" t="s">
        <v>27</v>
      </c>
      <c r="E23" s="1" t="s">
        <v>29</v>
      </c>
      <c r="I23" s="22" t="s">
        <v>14</v>
      </c>
      <c r="J23" s="4"/>
      <c r="K23" s="4"/>
      <c r="L23" s="6">
        <f>L22*K22</f>
        <v>14400</v>
      </c>
      <c r="M23" s="34">
        <f>N23*O23</f>
        <v>6120</v>
      </c>
      <c r="N23" s="4">
        <v>6000</v>
      </c>
      <c r="O23" s="29">
        <v>1.02</v>
      </c>
      <c r="P23" s="19">
        <v>0</v>
      </c>
      <c r="Q23" s="4">
        <v>0</v>
      </c>
      <c r="R23" s="33">
        <v>0</v>
      </c>
    </row>
    <row r="24" spans="1:33" x14ac:dyDescent="0.25">
      <c r="A24" s="7" t="s">
        <v>28</v>
      </c>
      <c r="B24" s="8">
        <f>M38</f>
        <v>27110</v>
      </c>
      <c r="C24" s="9">
        <f>P36</f>
        <v>3360.0000000000005</v>
      </c>
      <c r="D24" s="10">
        <f>L37</f>
        <v>4590</v>
      </c>
      <c r="I24" s="22"/>
      <c r="J24" s="4"/>
      <c r="K24" s="4" t="s">
        <v>39</v>
      </c>
      <c r="L24" s="39">
        <f>L23-(M24+M23+M22)</f>
        <v>2180</v>
      </c>
      <c r="M24" s="34">
        <v>4000</v>
      </c>
      <c r="N24" s="34">
        <v>4000</v>
      </c>
      <c r="O24" s="29">
        <v>1</v>
      </c>
      <c r="P24" s="19">
        <f>P20-M24</f>
        <v>1000</v>
      </c>
      <c r="Q24" s="4">
        <v>1000</v>
      </c>
      <c r="R24" s="33">
        <v>1</v>
      </c>
    </row>
    <row r="25" spans="1:33" ht="42" thickBot="1" x14ac:dyDescent="0.3">
      <c r="A25" s="11" t="s">
        <v>30</v>
      </c>
      <c r="B25" s="9">
        <f>U8*U7</f>
        <v>27317.931034482761</v>
      </c>
      <c r="C25" s="9">
        <f>U13</f>
        <v>3152.0689655172414</v>
      </c>
      <c r="D25" s="10">
        <f>U11</f>
        <v>4382.0689655172391</v>
      </c>
      <c r="I25" s="22"/>
      <c r="J25" s="4"/>
      <c r="K25" s="4"/>
      <c r="L25" s="4"/>
      <c r="M25" s="40">
        <f>SUM(M22:M24)</f>
        <v>12220</v>
      </c>
      <c r="N25" s="4"/>
      <c r="O25" s="29"/>
      <c r="P25" s="20">
        <f>Q25*R25</f>
        <v>4200</v>
      </c>
      <c r="Q25" s="21">
        <v>4000</v>
      </c>
      <c r="R25" s="80">
        <v>1.05</v>
      </c>
    </row>
    <row r="26" spans="1:33" ht="42" thickBot="1" x14ac:dyDescent="0.3">
      <c r="A26" s="12" t="s">
        <v>31</v>
      </c>
      <c r="B26" s="13">
        <f>AB19</f>
        <v>27231.990950226245</v>
      </c>
      <c r="C26" s="13">
        <f>AE19</f>
        <v>3238.0090497737556</v>
      </c>
      <c r="D26" s="14">
        <f>Z19</f>
        <v>4468.0090497737574</v>
      </c>
      <c r="I26" s="22" t="s">
        <v>15</v>
      </c>
      <c r="J26" s="4" t="s">
        <v>8</v>
      </c>
      <c r="K26" s="5">
        <v>3000</v>
      </c>
      <c r="L26" s="4">
        <v>1.1000000000000001</v>
      </c>
      <c r="M26" s="26"/>
      <c r="N26" s="4"/>
      <c r="O26" s="29"/>
      <c r="P26" s="19">
        <v>1000</v>
      </c>
      <c r="Q26" s="4">
        <v>1000</v>
      </c>
      <c r="R26" s="33">
        <v>1</v>
      </c>
    </row>
    <row r="27" spans="1:33" x14ac:dyDescent="0.25">
      <c r="I27" s="22"/>
      <c r="J27" s="4"/>
      <c r="K27" s="5"/>
      <c r="L27" s="4"/>
      <c r="M27" s="19"/>
      <c r="N27" s="4"/>
      <c r="O27" s="29"/>
      <c r="P27" s="19">
        <f>Q27*R27</f>
        <v>4200</v>
      </c>
      <c r="Q27" s="4">
        <v>4000</v>
      </c>
      <c r="R27" s="33">
        <v>1.05</v>
      </c>
    </row>
    <row r="28" spans="1:33" ht="14.4" thickBot="1" x14ac:dyDescent="0.3">
      <c r="I28" s="22"/>
      <c r="J28" s="4"/>
      <c r="K28" s="5"/>
      <c r="L28" s="4"/>
      <c r="M28" s="19"/>
      <c r="N28" s="4"/>
      <c r="O28" s="55"/>
      <c r="P28" s="20">
        <f>Q28*R28</f>
        <v>3300.0000000000005</v>
      </c>
      <c r="Q28" s="21">
        <v>3000</v>
      </c>
      <c r="R28" s="80">
        <v>1.1000000000000001</v>
      </c>
    </row>
    <row r="29" spans="1:33" x14ac:dyDescent="0.25">
      <c r="C29" s="15"/>
      <c r="I29" s="22" t="s">
        <v>16</v>
      </c>
      <c r="J29" s="4" t="s">
        <v>8</v>
      </c>
      <c r="K29" s="5">
        <v>5000</v>
      </c>
      <c r="L29" s="4">
        <v>1.1200000000000001</v>
      </c>
      <c r="M29" s="19"/>
      <c r="N29" s="4"/>
      <c r="O29" s="29"/>
      <c r="P29" s="19">
        <v>1000</v>
      </c>
      <c r="Q29" s="4">
        <v>1000</v>
      </c>
      <c r="R29" s="33">
        <v>1</v>
      </c>
    </row>
    <row r="30" spans="1:33" x14ac:dyDescent="0.25">
      <c r="C30" s="16"/>
      <c r="I30" s="22"/>
      <c r="J30" s="4"/>
      <c r="K30" s="5"/>
      <c r="L30" s="4"/>
      <c r="M30" s="19"/>
      <c r="N30" s="4"/>
      <c r="O30" s="29"/>
      <c r="P30" s="19">
        <f>Q30*R30</f>
        <v>4200</v>
      </c>
      <c r="Q30" s="4">
        <v>4000</v>
      </c>
      <c r="R30" s="33">
        <v>1.05</v>
      </c>
    </row>
    <row r="31" spans="1:33" x14ac:dyDescent="0.25">
      <c r="I31" s="22"/>
      <c r="J31" s="4"/>
      <c r="K31" s="5"/>
      <c r="L31" s="4"/>
      <c r="M31" s="19"/>
      <c r="N31" s="4"/>
      <c r="O31" s="29"/>
      <c r="P31" s="19">
        <f>Q31*R31</f>
        <v>3300.0000000000005</v>
      </c>
      <c r="Q31" s="4">
        <v>3000</v>
      </c>
      <c r="R31" s="33">
        <v>1.1000000000000001</v>
      </c>
    </row>
    <row r="32" spans="1:33" x14ac:dyDescent="0.25">
      <c r="G32" s="1" t="s">
        <v>32</v>
      </c>
      <c r="I32" s="81"/>
      <c r="J32" s="46"/>
      <c r="K32" s="46"/>
      <c r="L32" s="46"/>
      <c r="M32" s="56"/>
      <c r="N32" s="46"/>
      <c r="O32" s="55"/>
      <c r="P32" s="56">
        <f>Q32*R32</f>
        <v>5600.0000000000009</v>
      </c>
      <c r="Q32" s="46">
        <v>5000</v>
      </c>
      <c r="R32" s="47">
        <v>1.1200000000000001</v>
      </c>
    </row>
    <row r="33" spans="5:18" x14ac:dyDescent="0.25">
      <c r="I33" s="22" t="s">
        <v>17</v>
      </c>
      <c r="J33" s="4" t="s">
        <v>11</v>
      </c>
      <c r="K33" s="5">
        <v>10000</v>
      </c>
      <c r="L33" s="6">
        <v>1.25</v>
      </c>
      <c r="M33" s="19">
        <v>1000</v>
      </c>
      <c r="N33" s="4">
        <v>1000</v>
      </c>
      <c r="O33" s="29">
        <v>1</v>
      </c>
      <c r="P33" s="57"/>
      <c r="Q33" s="4"/>
      <c r="R33" s="33"/>
    </row>
    <row r="34" spans="5:18" x14ac:dyDescent="0.25">
      <c r="I34" s="82"/>
      <c r="J34" s="4"/>
      <c r="K34" s="4"/>
      <c r="L34" s="6">
        <f>L33*K33</f>
        <v>12500</v>
      </c>
      <c r="M34" s="19">
        <f>N34*O34</f>
        <v>4200</v>
      </c>
      <c r="N34" s="4">
        <v>4000</v>
      </c>
      <c r="O34" s="29">
        <v>1.05</v>
      </c>
      <c r="P34" s="4"/>
      <c r="Q34" s="4"/>
      <c r="R34" s="23"/>
    </row>
    <row r="35" spans="5:18" x14ac:dyDescent="0.25">
      <c r="I35" s="82"/>
      <c r="J35" s="4"/>
      <c r="K35" s="4" t="s">
        <v>39</v>
      </c>
      <c r="L35" s="39">
        <f>L34-(M36+M35+M34+M33)</f>
        <v>1760</v>
      </c>
      <c r="M35" s="19">
        <f>N35*O35</f>
        <v>3300.0000000000005</v>
      </c>
      <c r="N35" s="4">
        <v>3000</v>
      </c>
      <c r="O35" s="29">
        <v>1.1000000000000001</v>
      </c>
      <c r="P35" s="4"/>
      <c r="Q35" s="4"/>
      <c r="R35" s="23"/>
    </row>
    <row r="36" spans="5:18" x14ac:dyDescent="0.25">
      <c r="I36" s="82"/>
      <c r="J36" s="4"/>
      <c r="K36" s="46"/>
      <c r="L36" s="46"/>
      <c r="M36" s="34">
        <f>+N36*O36</f>
        <v>2240</v>
      </c>
      <c r="N36" s="4">
        <v>2000</v>
      </c>
      <c r="O36" s="4">
        <v>1.1200000000000001</v>
      </c>
      <c r="P36" s="83">
        <f>Q36*R36</f>
        <v>3360.0000000000005</v>
      </c>
      <c r="Q36" s="4">
        <v>3000</v>
      </c>
      <c r="R36" s="23">
        <v>1.1200000000000001</v>
      </c>
    </row>
    <row r="37" spans="5:18" ht="47.4" customHeight="1" x14ac:dyDescent="0.25">
      <c r="I37" s="112"/>
      <c r="J37" s="113"/>
      <c r="K37" s="59" t="s">
        <v>40</v>
      </c>
      <c r="L37" s="92">
        <f>+L35+L24+L14</f>
        <v>4590</v>
      </c>
      <c r="M37" s="94">
        <f>SUM(M33:M36)</f>
        <v>10740</v>
      </c>
      <c r="N37" s="96" t="str">
        <f ca="1">_xlfn.FORMULATEXT(M37)</f>
        <v>=SUM(M33:M36)</v>
      </c>
      <c r="O37" s="97"/>
      <c r="P37" s="98"/>
      <c r="Q37" s="108"/>
      <c r="R37" s="109"/>
    </row>
    <row r="38" spans="5:18" ht="41.4" customHeight="1" thickBot="1" x14ac:dyDescent="0.3">
      <c r="I38" s="114"/>
      <c r="J38" s="115"/>
      <c r="K38" s="95" t="s">
        <v>52</v>
      </c>
      <c r="L38" s="95"/>
      <c r="M38" s="93">
        <f>SUM(M14+M25+M37)</f>
        <v>27110</v>
      </c>
      <c r="N38" s="21" t="str">
        <f ca="1">_xlfn.FORMULATEXT(M38)</f>
        <v>=SUM(M14+M25+M37)</v>
      </c>
      <c r="O38" s="21"/>
      <c r="P38" s="21"/>
      <c r="Q38" s="110"/>
      <c r="R38" s="111"/>
    </row>
    <row r="46" spans="5:18" x14ac:dyDescent="0.25">
      <c r="E46" s="8"/>
    </row>
    <row r="50" spans="5:6" x14ac:dyDescent="0.25">
      <c r="E50" s="8"/>
    </row>
    <row r="53" spans="5:6" ht="15" customHeight="1" x14ac:dyDescent="0.25"/>
    <row r="54" spans="5:6" x14ac:dyDescent="0.25">
      <c r="F54" s="1" t="s">
        <v>32</v>
      </c>
    </row>
    <row r="73" spans="9:9" x14ac:dyDescent="0.25">
      <c r="I73" s="8"/>
    </row>
  </sheetData>
  <mergeCells count="8">
    <mergeCell ref="T4:U4"/>
    <mergeCell ref="A4:D4"/>
    <mergeCell ref="W4:AG4"/>
    <mergeCell ref="I4:R4"/>
    <mergeCell ref="K38:L38"/>
    <mergeCell ref="N37:P37"/>
    <mergeCell ref="Q37:R38"/>
    <mergeCell ref="I37:J38"/>
  </mergeCells>
  <pageMargins left="0.7" right="0.7" top="0.75" bottom="0.75" header="0.3" footer="0.3"/>
  <pageSetup paperSize="9" orientation="landscape" r:id="rId1"/>
  <rowBreaks count="1" manualBreakCount="1">
    <brk id="26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2026-07-13T12:27:54Z</dcterms:created>
  <dcterms:modified xsi:type="dcterms:W3CDTF">2026-07-17T15:54:28Z</dcterms:modified>
</cp:coreProperties>
</file>