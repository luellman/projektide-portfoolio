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c36b14c3f46f3/Desktop/finantsarvestus-raamatupidamine/"/>
    </mc:Choice>
  </mc:AlternateContent>
  <xr:revisionPtr revIDLastSave="246" documentId="8_{425DBE91-12E0-44AC-94F0-0270A35B56CA}" xr6:coauthVersionLast="47" xr6:coauthVersionMax="47" xr10:uidLastSave="{AA52F6CA-9948-4FD5-9369-1B6DA392892C}"/>
  <bookViews>
    <workbookView xWindow="11424" yWindow="0" windowWidth="11712" windowHeight="12336" xr2:uid="{8DFD2DB4-C907-4106-9780-93EAB9500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6" i="1" l="1"/>
  <c r="C159" i="1"/>
  <c r="C158" i="1"/>
  <c r="C157" i="1"/>
  <c r="C156" i="1"/>
  <c r="C155" i="1"/>
  <c r="C154" i="1"/>
  <c r="C153" i="1"/>
  <c r="D66" i="1"/>
  <c r="C186" i="1"/>
  <c r="D154" i="1"/>
  <c r="D155" i="1"/>
  <c r="D156" i="1"/>
  <c r="D157" i="1"/>
  <c r="D158" i="1"/>
  <c r="D159" i="1"/>
  <c r="H28" i="1" l="1"/>
  <c r="B179" i="1"/>
  <c r="B175" i="1"/>
  <c r="C69" i="1"/>
  <c r="C67" i="1"/>
  <c r="C66" i="1"/>
  <c r="C58" i="1"/>
  <c r="C57" i="1"/>
  <c r="C56" i="1"/>
  <c r="G37" i="1"/>
  <c r="D37" i="1"/>
  <c r="D25" i="1"/>
  <c r="D26" i="1" s="1"/>
  <c r="D11" i="1"/>
  <c r="D13" i="1" s="1"/>
  <c r="G14" i="1" s="1"/>
  <c r="D153" i="1"/>
  <c r="E26" i="1"/>
  <c r="C175" i="1"/>
  <c r="D67" i="1"/>
  <c r="C179" i="1"/>
  <c r="H37" i="1"/>
  <c r="D69" i="1"/>
  <c r="C183" i="1"/>
  <c r="E25" i="1"/>
  <c r="D38" i="1"/>
  <c r="H25" i="1" l="1"/>
  <c r="C70" i="1"/>
  <c r="B183" i="1"/>
  <c r="C62" i="1"/>
  <c r="F69" i="1" s="1"/>
  <c r="F70" i="1" s="1"/>
  <c r="H26" i="1"/>
  <c r="H27" i="1"/>
  <c r="G11" i="1"/>
</calcChain>
</file>

<file path=xl/sharedStrings.xml><?xml version="1.0" encoding="utf-8"?>
<sst xmlns="http://schemas.openxmlformats.org/spreadsheetml/2006/main" count="177" uniqueCount="119">
  <si>
    <t>5.1.</t>
  </si>
  <si>
    <t>Ettevõte võttis 1. juunil 20x1 üheks aastaks laenu 20 000 eurot. Laenuintressimäär on 9% aastas.  </t>
  </si>
  <si>
    <t>Teha vajalik raamatupidamiskanne 1. juunil 20x1, korrigeerimiskanne 31. detsembril 20x1 ja raamatupidamiskanne 31. mail 20x2. </t>
  </si>
  <si>
    <t>1. juuni võeti laenu</t>
  </si>
  <si>
    <t>kohustised suurenevad, raha suureneb</t>
  </si>
  <si>
    <t>31 dets korrigeerimiskanne, võtma intressi arvesse kuluna</t>
  </si>
  <si>
    <t>31. mai maksame, järg kanne</t>
  </si>
  <si>
    <t>01.06.20x1</t>
  </si>
  <si>
    <t>D</t>
  </si>
  <si>
    <t>arvelduskonto</t>
  </si>
  <si>
    <t>K</t>
  </si>
  <si>
    <t>lühiajaline laenukohustis</t>
  </si>
  <si>
    <t>31.12.20x1</t>
  </si>
  <si>
    <t>intressikulu</t>
  </si>
  <si>
    <t>intressivõlad</t>
  </si>
  <si>
    <t>31.05.20x2</t>
  </si>
  <si>
    <t>5.2.</t>
  </si>
  <si>
    <t>Ettevõte andis 1. juulil 20x1 üheks aastaks laenu 145 000 eurot. Laenuintressimäär on 12% aastas.  </t>
  </si>
  <si>
    <t>Teha vajalik raamatupidamiskanne 1. juulil 20x1, korrigeerimiskanne 31. detsembril 20x1 ja raamatupidamiskanne 30. juunil 20x2. </t>
  </si>
  <si>
    <t>01.07.20x1</t>
  </si>
  <si>
    <t>lühiajaline intressinõue</t>
  </si>
  <si>
    <t>intressitulu</t>
  </si>
  <si>
    <t>30.06.20x2</t>
  </si>
  <si>
    <t>5.3.</t>
  </si>
  <si>
    <t>Ettevõte maksis 30. augustil ajavahemiku 01.09.20x1–28.02.20x2 eest renti 1800 eurot.  </t>
  </si>
  <si>
    <t>Teha raamatupidamiskanne 30. augustil 20x1 ja korrigeerimiskanne 31. detsembril 20x1. </t>
  </si>
  <si>
    <t>30.08.20X1</t>
  </si>
  <si>
    <t>ettemakstud rendikulu</t>
  </si>
  <si>
    <t>31.12.20X1</t>
  </si>
  <si>
    <t>rendikulu</t>
  </si>
  <si>
    <t>5.4.</t>
  </si>
  <si>
    <t>1. mail laekus osanikelt ettevõtte arvelduskontole osakapitali sissemakse 4000 eurot. Saadud raha eest soetas osaühing masina,</t>
  </si>
  <si>
    <t xml:space="preserve"> mille maksumus on 1500 eurot ning mille eest tuleb tasuda juunikuus. Maikuus kajastati kuluna 25 eurot masina soetusmaksumusest.</t>
  </si>
  <si>
    <t xml:space="preserve"> Mais maksti renti ajavahemiku 01. mai–30. juuni eest 600 eurot ning soetati kontoritarbeid (mida hakati kohe kasutama) 200 euro eest.</t>
  </si>
  <si>
    <t xml:space="preserve"> Kontoritarvete eest tasuti soetamisel. Mais osutati teenuseid (ja väljastati arved) maksumusega 650 eurot, </t>
  </si>
  <si>
    <t>millest on ettevõtte arvelduskontole laekunud 550 eurot. </t>
  </si>
  <si>
    <t>Kui palju on ettevõttel varasid, kohustisi ja omakapitali 1. mai ja 31. mai seisuga? Kui palju tekkis ettevõttel tulusid, kulusid ja kasumit maikuus? </t>
  </si>
  <si>
    <t>Soovi korral kasutage päevaraamatu formaati (kronoloogiline register) ning pearaamatu formaati (süstemaatiline register)</t>
  </si>
  <si>
    <t>1. mai seisuga:</t>
  </si>
  <si>
    <t>varad</t>
  </si>
  <si>
    <t xml:space="preserve">raha </t>
  </si>
  <si>
    <t>kohustised</t>
  </si>
  <si>
    <t>omakapital</t>
  </si>
  <si>
    <t>tulud</t>
  </si>
  <si>
    <t>osutatud teenused</t>
  </si>
  <si>
    <t>kulud</t>
  </si>
  <si>
    <t>ammortisatsioonikulu</t>
  </si>
  <si>
    <t>kontoritarbed</t>
  </si>
  <si>
    <t>kasum</t>
  </si>
  <si>
    <t>bilanss</t>
  </si>
  <si>
    <t>raha</t>
  </si>
  <si>
    <t>võlad tarnijatele</t>
  </si>
  <si>
    <t>nõuded ostjate vastu</t>
  </si>
  <si>
    <t>rendi ettemaks</t>
  </si>
  <si>
    <t>põhivarad</t>
  </si>
  <si>
    <t>passiva</t>
  </si>
  <si>
    <t>5.5.</t>
  </si>
  <si>
    <t>Ettevõttes on koostatud majandustehingute kohta järgmised lausendid: </t>
  </si>
  <si>
    <t>1. Osteti kaupa 300 000 euro eest, arve tasumata. </t>
  </si>
  <si>
    <t>Raamatupidamises on tehtud kanne: </t>
  </si>
  <si>
    <t>paranduskanded</t>
  </si>
  <si>
    <t>D kaup</t>
  </si>
  <si>
    <t>K võlad tarnijatele</t>
  </si>
  <si>
    <t>või</t>
  </si>
  <si>
    <t>  </t>
  </si>
  <si>
    <t>2. Kanti arvelduskontolt üle varem arvestatud sotsiaalmaksu 7000 eurot. </t>
  </si>
  <si>
    <t>Raamatupidamises on tehtud kanne:  </t>
  </si>
  <si>
    <t>paranduskanne</t>
  </si>
  <si>
    <t>D tmvõlg</t>
  </si>
  <si>
    <t>K arvelduskonto</t>
  </si>
  <si>
    <t>D smvõlg</t>
  </si>
  <si>
    <t>3. Pangast toodi kassasse raha 5000 eurot. </t>
  </si>
  <si>
    <t>Paranduskanne:</t>
  </si>
  <si>
    <t>D Arvelduskonto</t>
  </si>
  <si>
    <t>K Kassa</t>
  </si>
  <si>
    <t>D Kassa</t>
  </si>
  <si>
    <t>K Arvelduskonto</t>
  </si>
  <si>
    <t>4. Ostjatelt laekus arvete alusel 1000 eurot. </t>
  </si>
  <si>
    <t>D arvelduskonto</t>
  </si>
  <si>
    <t>K ostjatelt laekumata arved</t>
  </si>
  <si>
    <t>5.6.</t>
  </si>
  <si>
    <t>Analüüsida toodud majandustehinguid ja teha vajalikud paranduskanded. </t>
  </si>
  <si>
    <t>5.7.</t>
  </si>
  <si>
    <t>Ettevõte soetas masina 01.10.20X1  ja maksis selle eest pangakontolt 20 000 eurot.</t>
  </si>
  <si>
    <t xml:space="preserve">Masina lõppväärtus ehk lõpetamismaksumus on 4000 eurot ja kasutusaeg on kaheksa aastat. </t>
  </si>
  <si>
    <r>
      <t xml:space="preserve">Masina amortiseerimisel kasutatakse </t>
    </r>
    <r>
      <rPr>
        <b/>
        <sz val="12"/>
        <color theme="1"/>
        <rFont val="Aptos Narrow"/>
        <family val="2"/>
        <scheme val="minor"/>
      </rPr>
      <t>lineaarset meetodit.</t>
    </r>
  </si>
  <si>
    <t>Teha raamatupidamiskanne 01.10.20X1</t>
  </si>
  <si>
    <t>D masinad ja seadmed(mat. Põhivarad)</t>
  </si>
  <si>
    <t>Teha korrigeerimiskanne 31.12.20X1</t>
  </si>
  <si>
    <t>D ammortisatsioonikulu</t>
  </si>
  <si>
    <t>K põhivara akumuleeritud kulum</t>
  </si>
  <si>
    <t>kolme kuu ammortisatsioon oktoober, november ja detsember</t>
  </si>
  <si>
    <t>Teha korrigeerimiskanne 31.12.20X2</t>
  </si>
  <si>
    <t>Leida masina jääkmaksumus 31.12.20X2</t>
  </si>
  <si>
    <t>jääkmaksumus</t>
  </si>
  <si>
    <t>Leida masina akumuleeritud kulum seisuga 31.12.20X3</t>
  </si>
  <si>
    <t>akumuleeritud kululm 31.12.20x3</t>
  </si>
  <si>
    <t>osakapital</t>
  </si>
  <si>
    <t>Aktiva</t>
  </si>
  <si>
    <r>
      <t>D </t>
    </r>
    <r>
      <rPr>
        <i/>
        <sz val="12"/>
        <rFont val="Times New Roman"/>
        <family val="1"/>
        <charset val="186"/>
      </rPr>
      <t>Kaup    </t>
    </r>
    <r>
      <rPr>
        <sz val="12"/>
        <rFont val="Times New Roman"/>
        <family val="1"/>
        <charset val="186"/>
      </rPr>
      <t xml:space="preserve">    </t>
    </r>
  </si>
  <si>
    <r>
      <t>K </t>
    </r>
    <r>
      <rPr>
        <i/>
        <sz val="12"/>
        <rFont val="Times New Roman"/>
        <family val="1"/>
        <charset val="186"/>
      </rPr>
      <t>Võlad tarnijatele</t>
    </r>
    <r>
      <rPr>
        <sz val="12"/>
        <rFont val="Times New Roman"/>
        <family val="1"/>
        <charset val="186"/>
      </rPr>
      <t xml:space="preserve">     </t>
    </r>
  </si>
  <si>
    <r>
      <t>D </t>
    </r>
    <r>
      <rPr>
        <i/>
        <sz val="12"/>
        <rFont val="Times New Roman"/>
        <family val="1"/>
        <charset val="186"/>
      </rPr>
      <t>Tulumaksuvõlg</t>
    </r>
    <r>
      <rPr>
        <sz val="12"/>
        <rFont val="Times New Roman"/>
        <family val="1"/>
        <charset val="186"/>
      </rPr>
      <t xml:space="preserve">     </t>
    </r>
  </si>
  <si>
    <t>7000  </t>
  </si>
  <si>
    <r>
      <t>K </t>
    </r>
    <r>
      <rPr>
        <i/>
        <sz val="12"/>
        <rFont val="Times New Roman"/>
        <family val="1"/>
        <charset val="186"/>
      </rPr>
      <t>Arvelduskonto</t>
    </r>
    <r>
      <rPr>
        <sz val="12"/>
        <rFont val="Times New Roman"/>
        <family val="1"/>
        <charset val="186"/>
      </rPr>
      <t xml:space="preserve">    </t>
    </r>
  </si>
  <si>
    <r>
      <t>D </t>
    </r>
    <r>
      <rPr>
        <i/>
        <sz val="12"/>
        <rFont val="Times New Roman"/>
        <family val="1"/>
        <charset val="186"/>
      </rPr>
      <t>Arvelduskonto</t>
    </r>
    <r>
      <rPr>
        <sz val="12"/>
        <rFont val="Times New Roman"/>
        <family val="1"/>
        <charset val="186"/>
      </rPr>
      <t xml:space="preserve">     </t>
    </r>
  </si>
  <si>
    <t>5000 </t>
  </si>
  <si>
    <r>
      <t>K </t>
    </r>
    <r>
      <rPr>
        <i/>
        <sz val="12"/>
        <rFont val="Times New Roman"/>
        <family val="1"/>
        <charset val="186"/>
      </rPr>
      <t>Kassa</t>
    </r>
    <r>
      <rPr>
        <sz val="12"/>
        <rFont val="Times New Roman"/>
        <family val="1"/>
        <charset val="186"/>
      </rPr>
      <t xml:space="preserve">                </t>
    </r>
  </si>
  <si>
    <t>10 000 </t>
  </si>
  <si>
    <r>
      <t>D </t>
    </r>
    <r>
      <rPr>
        <i/>
        <sz val="12"/>
        <rFont val="Times New Roman"/>
        <family val="1"/>
        <charset val="186"/>
      </rPr>
      <t>Arvelduskonto</t>
    </r>
    <r>
      <rPr>
        <sz val="12"/>
        <rFont val="Times New Roman"/>
        <family val="1"/>
        <charset val="186"/>
      </rPr>
      <t> </t>
    </r>
  </si>
  <si>
    <r>
      <t>K </t>
    </r>
    <r>
      <rPr>
        <i/>
        <sz val="12"/>
        <rFont val="Times New Roman"/>
        <family val="1"/>
        <charset val="186"/>
      </rPr>
      <t>Ostjatelt laekumata arved</t>
    </r>
    <r>
      <rPr>
        <sz val="12"/>
        <rFont val="Times New Roman"/>
        <family val="1"/>
        <charset val="186"/>
      </rPr>
      <t> </t>
    </r>
  </si>
  <si>
    <t>1. A</t>
  </si>
  <si>
    <t>5. E</t>
  </si>
  <si>
    <t>3. B</t>
  </si>
  <si>
    <t>6. F</t>
  </si>
  <si>
    <t>2. C</t>
  </si>
  <si>
    <t>7. G</t>
  </si>
  <si>
    <t>4. D</t>
  </si>
  <si>
    <t>maikuus:</t>
  </si>
  <si>
    <t>seisuga 31.mai: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</si>
</sst>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charset val="186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charset val="186"/>
      <scheme val="minor"/>
    </font>
    <font>
      <sz val="12"/>
      <name val="Times New Roman"/>
      <family val="1"/>
      <charset val="186"/>
    </font>
    <font>
      <sz val="12"/>
      <name val="Calibri"/>
      <family val="2"/>
      <charset val="186"/>
    </font>
    <font>
      <i/>
      <sz val="12"/>
      <color theme="1"/>
      <name val="Aptos Narrow"/>
      <family val="2"/>
      <scheme val="minor"/>
    </font>
    <font>
      <i/>
      <sz val="12"/>
      <name val="Times New Roman"/>
      <family val="1"/>
      <charset val="186"/>
    </font>
    <font>
      <i/>
      <sz val="12"/>
      <color theme="1"/>
      <name val="Aptos Narrow"/>
      <family val="2"/>
      <charset val="186"/>
      <scheme val="minor"/>
    </font>
    <font>
      <sz val="12"/>
      <color rgb="FF2F6473"/>
      <name val="Proxima Nova"/>
    </font>
    <font>
      <u/>
      <sz val="12"/>
      <color theme="1"/>
      <name val="Aptos Narrow"/>
      <family val="2"/>
      <charset val="186"/>
      <scheme val="minor"/>
    </font>
    <font>
      <b/>
      <u/>
      <sz val="12"/>
      <name val="Times New Roman"/>
      <family val="1"/>
    </font>
    <font>
      <b/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10" fontId="2" fillId="0" borderId="0" xfId="0" applyNumberFormat="1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quotePrefix="1" applyFont="1"/>
    <xf numFmtId="0" fontId="8" fillId="0" borderId="0" xfId="0" applyFont="1"/>
    <xf numFmtId="0" fontId="9" fillId="0" borderId="1" xfId="0" applyFont="1" applyBorder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0" borderId="2" xfId="0" applyFont="1" applyBorder="1"/>
    <xf numFmtId="0" fontId="3" fillId="0" borderId="2" xfId="0" applyFont="1" applyBorder="1" applyAlignment="1">
      <alignment horizontal="left" vertical="center"/>
    </xf>
    <xf numFmtId="3" fontId="2" fillId="0" borderId="2" xfId="0" applyNumberFormat="1" applyFont="1" applyBorder="1"/>
    <xf numFmtId="0" fontId="3" fillId="2" borderId="2" xfId="0" applyFont="1" applyFill="1" applyBorder="1" applyAlignment="1">
      <alignment horizontal="left" vertical="center"/>
    </xf>
    <xf numFmtId="0" fontId="2" fillId="2" borderId="2" xfId="0" applyFont="1" applyFill="1" applyBorder="1"/>
    <xf numFmtId="0" fontId="2" fillId="0" borderId="0" xfId="0" applyFont="1" applyBorder="1"/>
    <xf numFmtId="0" fontId="5" fillId="2" borderId="2" xfId="0" applyFont="1" applyFill="1" applyBorder="1"/>
    <xf numFmtId="0" fontId="2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3" xfId="0" applyFont="1" applyFill="1" applyBorder="1"/>
    <xf numFmtId="0" fontId="2" fillId="0" borderId="4" xfId="0" applyFont="1" applyBorder="1"/>
    <xf numFmtId="0" fontId="2" fillId="0" borderId="6" xfId="0" applyFont="1" applyBorder="1"/>
    <xf numFmtId="1" fontId="2" fillId="0" borderId="2" xfId="0" applyNumberFormat="1" applyFont="1" applyBorder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2" fillId="0" borderId="0" xfId="0" applyFont="1"/>
    <xf numFmtId="0" fontId="10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2" xfId="0" applyFont="1" applyBorder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11" fillId="0" borderId="0" xfId="0" applyFont="1"/>
    <xf numFmtId="0" fontId="1" fillId="3" borderId="7" xfId="0" applyFont="1" applyFill="1" applyBorder="1"/>
    <xf numFmtId="0" fontId="2" fillId="0" borderId="7" xfId="0" applyFont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0" borderId="10" xfId="0" applyFont="1" applyBorder="1"/>
    <xf numFmtId="0" fontId="1" fillId="3" borderId="1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130</xdr:row>
      <xdr:rowOff>63894</xdr:rowOff>
    </xdr:from>
    <xdr:to>
      <xdr:col>4</xdr:col>
      <xdr:colOff>546374</xdr:colOff>
      <xdr:row>150</xdr:row>
      <xdr:rowOff>47661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C187F-C6F3-4301-B15C-BA1B31864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08180"/>
          <a:ext cx="6841503" cy="3975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1744-B367-4930-B9ED-10721FBE10DC}">
  <dimension ref="A2:K186"/>
  <sheetViews>
    <sheetView tabSelected="1" zoomScale="66" zoomScaleNormal="89" workbookViewId="0">
      <selection activeCell="G3" sqref="G3"/>
    </sheetView>
  </sheetViews>
  <sheetFormatPr defaultColWidth="8.6640625" defaultRowHeight="15.6"/>
  <cols>
    <col min="1" max="1" width="32" style="1" customWidth="1"/>
    <col min="2" max="2" width="11" style="1" customWidth="1"/>
    <col min="3" max="3" width="23.21875" style="1" customWidth="1"/>
    <col min="4" max="4" width="25.44140625" style="1" customWidth="1"/>
    <col min="5" max="5" width="17" style="1" customWidth="1"/>
    <col min="6" max="6" width="21.5546875" style="1" bestFit="1" customWidth="1"/>
    <col min="7" max="7" width="25.5546875" style="1" bestFit="1" customWidth="1"/>
    <col min="8" max="8" width="23.88671875" style="1" bestFit="1" customWidth="1"/>
    <col min="9" max="9" width="8.6640625" style="1"/>
    <col min="10" max="10" width="25.5546875" style="1" bestFit="1" customWidth="1"/>
    <col min="11" max="11" width="10.109375" style="1" bestFit="1" customWidth="1"/>
    <col min="12" max="16384" width="8.6640625" style="1"/>
  </cols>
  <sheetData>
    <row r="2" spans="1:11">
      <c r="A2" s="1" t="s">
        <v>0</v>
      </c>
    </row>
    <row r="3" spans="1:11">
      <c r="A3" s="2" t="s">
        <v>1</v>
      </c>
    </row>
    <row r="4" spans="1:11" ht="16.2" customHeight="1">
      <c r="A4" s="2" t="s">
        <v>2</v>
      </c>
    </row>
    <row r="5" spans="1:11" ht="16.2" customHeight="1">
      <c r="A5" s="2"/>
    </row>
    <row r="6" spans="1:11" ht="16.2" customHeight="1">
      <c r="A6" s="2" t="s">
        <v>3</v>
      </c>
      <c r="D6" s="1" t="s">
        <v>4</v>
      </c>
    </row>
    <row r="7" spans="1:11" ht="16.2" customHeight="1">
      <c r="A7" s="2" t="s">
        <v>5</v>
      </c>
      <c r="K7" s="3"/>
    </row>
    <row r="8" spans="1:11" ht="16.2" customHeight="1">
      <c r="A8" s="2" t="s">
        <v>6</v>
      </c>
    </row>
    <row r="9" spans="1:11" ht="16.2" customHeight="1">
      <c r="A9" s="2"/>
    </row>
    <row r="10" spans="1:11" ht="16.2" customHeight="1">
      <c r="A10" s="14" t="s">
        <v>7</v>
      </c>
      <c r="B10" s="14" t="s">
        <v>8</v>
      </c>
      <c r="C10" s="14" t="s">
        <v>9</v>
      </c>
      <c r="D10" s="14">
        <v>20000</v>
      </c>
      <c r="E10" s="14" t="s">
        <v>10</v>
      </c>
      <c r="F10" s="14" t="s">
        <v>11</v>
      </c>
      <c r="G10" s="16">
        <v>20000</v>
      </c>
    </row>
    <row r="11" spans="1:11" ht="16.2" customHeight="1">
      <c r="A11" s="14" t="s">
        <v>12</v>
      </c>
      <c r="B11" s="14" t="s">
        <v>8</v>
      </c>
      <c r="C11" s="14" t="s">
        <v>13</v>
      </c>
      <c r="D11" s="14">
        <f>(D10*0.09)/12*7</f>
        <v>1050</v>
      </c>
      <c r="E11" s="14" t="s">
        <v>10</v>
      </c>
      <c r="F11" s="14" t="s">
        <v>14</v>
      </c>
      <c r="G11" s="14">
        <f>D11</f>
        <v>1050</v>
      </c>
    </row>
    <row r="12" spans="1:11" ht="16.2" customHeight="1">
      <c r="A12" s="17" t="s">
        <v>15</v>
      </c>
      <c r="B12" s="18" t="s">
        <v>8</v>
      </c>
      <c r="C12" s="18" t="s">
        <v>13</v>
      </c>
      <c r="D12" s="18">
        <v>750</v>
      </c>
      <c r="E12" s="14"/>
      <c r="F12" s="14"/>
      <c r="G12" s="14"/>
    </row>
    <row r="13" spans="1:11" ht="16.2" customHeight="1">
      <c r="A13" s="17"/>
      <c r="B13" s="18" t="s">
        <v>8</v>
      </c>
      <c r="C13" s="18" t="s">
        <v>14</v>
      </c>
      <c r="D13" s="18">
        <f>D11+D12</f>
        <v>1800</v>
      </c>
      <c r="E13" s="14"/>
      <c r="F13" s="14"/>
      <c r="G13" s="14"/>
    </row>
    <row r="14" spans="1:11" ht="16.2" customHeight="1">
      <c r="A14" s="17"/>
      <c r="B14" s="18" t="s">
        <v>8</v>
      </c>
      <c r="C14" s="18" t="s">
        <v>11</v>
      </c>
      <c r="D14" s="18">
        <v>20000</v>
      </c>
      <c r="E14" s="14" t="s">
        <v>10</v>
      </c>
      <c r="F14" s="14" t="s">
        <v>9</v>
      </c>
      <c r="G14" s="14">
        <f>D14+D13</f>
        <v>21800</v>
      </c>
    </row>
    <row r="15" spans="1:11" ht="16.2" customHeight="1"/>
    <row r="16" spans="1:11" s="10" customFormat="1" ht="16.2" customHeight="1"/>
    <row r="17" spans="1:8" ht="16.2" customHeight="1">
      <c r="A17" s="2"/>
    </row>
    <row r="20" spans="1:8">
      <c r="A20" s="1" t="s">
        <v>16</v>
      </c>
    </row>
    <row r="21" spans="1:8">
      <c r="A21" s="2" t="s">
        <v>17</v>
      </c>
    </row>
    <row r="22" spans="1:8">
      <c r="A22" s="2" t="s">
        <v>18</v>
      </c>
    </row>
    <row r="23" spans="1:8">
      <c r="A23" s="4"/>
    </row>
    <row r="24" spans="1:8">
      <c r="A24" s="35" t="s">
        <v>19</v>
      </c>
      <c r="B24" s="14" t="s">
        <v>8</v>
      </c>
      <c r="C24" s="14" t="s">
        <v>11</v>
      </c>
      <c r="D24" s="14">
        <v>145000</v>
      </c>
      <c r="E24" s="14"/>
      <c r="F24" s="14" t="s">
        <v>10</v>
      </c>
      <c r="G24" s="14" t="s">
        <v>9</v>
      </c>
      <c r="H24" s="14">
        <v>145000</v>
      </c>
    </row>
    <row r="25" spans="1:8">
      <c r="A25" s="35" t="s">
        <v>12</v>
      </c>
      <c r="B25" s="14" t="s">
        <v>8</v>
      </c>
      <c r="C25" s="14" t="s">
        <v>20</v>
      </c>
      <c r="D25" s="14">
        <f>(H24*0.12/12)*6</f>
        <v>8700</v>
      </c>
      <c r="E25" s="14" t="str">
        <f ca="1">_xlfn.FORMULATEXT(D25)</f>
        <v>=(H24*0,12/12)*6</v>
      </c>
      <c r="F25" s="14" t="s">
        <v>10</v>
      </c>
      <c r="G25" s="14" t="s">
        <v>21</v>
      </c>
      <c r="H25" s="14">
        <f>D25</f>
        <v>8700</v>
      </c>
    </row>
    <row r="26" spans="1:8">
      <c r="A26" s="35" t="s">
        <v>22</v>
      </c>
      <c r="B26" s="14" t="s">
        <v>8</v>
      </c>
      <c r="C26" s="14" t="s">
        <v>9</v>
      </c>
      <c r="D26" s="14">
        <f>H24+D25+8700</f>
        <v>162400</v>
      </c>
      <c r="E26" s="14" t="str">
        <f ca="1">_xlfn.FORMULATEXT(D26)</f>
        <v>=H24+D25+8700</v>
      </c>
      <c r="F26" s="14" t="s">
        <v>10</v>
      </c>
      <c r="G26" s="14" t="s">
        <v>21</v>
      </c>
      <c r="H26" s="14">
        <f>$D$25</f>
        <v>8700</v>
      </c>
    </row>
    <row r="27" spans="1:8">
      <c r="A27" s="14"/>
      <c r="B27" s="14"/>
      <c r="C27" s="14"/>
      <c r="D27" s="14"/>
      <c r="E27" s="14"/>
      <c r="F27" s="14" t="s">
        <v>10</v>
      </c>
      <c r="G27" s="14" t="s">
        <v>21</v>
      </c>
      <c r="H27" s="14">
        <f>$D$25</f>
        <v>8700</v>
      </c>
    </row>
    <row r="28" spans="1:8">
      <c r="A28" s="14"/>
      <c r="B28" s="14"/>
      <c r="C28" s="14"/>
      <c r="D28" s="14"/>
      <c r="E28" s="14"/>
      <c r="F28" s="14" t="s">
        <v>10</v>
      </c>
      <c r="G28" s="14" t="s">
        <v>20</v>
      </c>
      <c r="H28" s="14">
        <f>145000</f>
        <v>145000</v>
      </c>
    </row>
    <row r="29" spans="1:8" customFormat="1" ht="14.4"/>
    <row r="30" spans="1:8" s="12" customFormat="1">
      <c r="A30" s="11"/>
    </row>
    <row r="32" spans="1:8">
      <c r="A32" s="1" t="s">
        <v>23</v>
      </c>
    </row>
    <row r="33" spans="1:8">
      <c r="A33" s="2" t="s">
        <v>24</v>
      </c>
    </row>
    <row r="34" spans="1:8">
      <c r="A34" s="2" t="s">
        <v>25</v>
      </c>
    </row>
    <row r="35" spans="1:8">
      <c r="A35" s="2"/>
    </row>
    <row r="36" spans="1:8">
      <c r="A36" s="15" t="s">
        <v>26</v>
      </c>
      <c r="B36" s="14" t="s">
        <v>8</v>
      </c>
      <c r="C36" s="14" t="s">
        <v>27</v>
      </c>
      <c r="D36" s="14">
        <v>1800</v>
      </c>
      <c r="E36" s="14" t="s">
        <v>10</v>
      </c>
      <c r="F36" s="14" t="s">
        <v>9</v>
      </c>
      <c r="G36" s="14">
        <v>1800</v>
      </c>
    </row>
    <row r="37" spans="1:8">
      <c r="A37" s="15" t="s">
        <v>28</v>
      </c>
      <c r="B37" s="14" t="s">
        <v>8</v>
      </c>
      <c r="C37" s="14" t="s">
        <v>29</v>
      </c>
      <c r="D37" s="14">
        <f>D36/6*4</f>
        <v>1200</v>
      </c>
      <c r="E37" s="14" t="s">
        <v>10</v>
      </c>
      <c r="F37" s="14" t="s">
        <v>27</v>
      </c>
      <c r="G37" s="14">
        <f>G36/6*4</f>
        <v>1200</v>
      </c>
      <c r="H37" s="1" t="str">
        <f ca="1">_xlfn.FORMULATEXT(G37)</f>
        <v>=G36/6*4</v>
      </c>
    </row>
    <row r="38" spans="1:8">
      <c r="D38" s="1" t="str">
        <f ca="1">_xlfn.FORMULATEXT(D37)</f>
        <v>=D36/6*4</v>
      </c>
    </row>
    <row r="40" spans="1:8" s="12" customFormat="1"/>
    <row r="42" spans="1:8">
      <c r="A42" s="1" t="s">
        <v>30</v>
      </c>
    </row>
    <row r="43" spans="1:8">
      <c r="A43" s="2" t="s">
        <v>31</v>
      </c>
    </row>
    <row r="44" spans="1:8">
      <c r="A44" s="2" t="s">
        <v>32</v>
      </c>
    </row>
    <row r="45" spans="1:8">
      <c r="A45" s="2" t="s">
        <v>33</v>
      </c>
    </row>
    <row r="46" spans="1:8" ht="19.95" customHeight="1">
      <c r="A46" s="1" t="s">
        <v>34</v>
      </c>
    </row>
    <row r="47" spans="1:8">
      <c r="A47" s="1" t="s">
        <v>35</v>
      </c>
    </row>
    <row r="49" spans="1:6">
      <c r="A49" s="2" t="s">
        <v>36</v>
      </c>
    </row>
    <row r="50" spans="1:6">
      <c r="A50" s="1" t="s">
        <v>37</v>
      </c>
    </row>
    <row r="52" spans="1:6">
      <c r="A52" s="38" t="s">
        <v>38</v>
      </c>
      <c r="B52" s="14" t="s">
        <v>39</v>
      </c>
      <c r="C52" s="14" t="s">
        <v>40</v>
      </c>
      <c r="D52" s="14">
        <v>4000</v>
      </c>
      <c r="E52" s="14" t="s">
        <v>41</v>
      </c>
      <c r="F52" s="14">
        <v>0</v>
      </c>
    </row>
    <row r="53" spans="1:6">
      <c r="B53" s="14"/>
      <c r="C53" s="14"/>
      <c r="D53" s="14"/>
      <c r="E53" s="14" t="s">
        <v>42</v>
      </c>
      <c r="F53" s="14">
        <v>4000</v>
      </c>
    </row>
    <row r="54" spans="1:6">
      <c r="B54" s="19"/>
      <c r="C54" s="19"/>
      <c r="D54" s="19"/>
      <c r="E54" s="19"/>
      <c r="F54" s="19"/>
    </row>
    <row r="55" spans="1:6">
      <c r="B55" s="19"/>
      <c r="C55" s="19"/>
      <c r="D55" s="19"/>
      <c r="E55" s="19"/>
      <c r="F55" s="19"/>
    </row>
    <row r="56" spans="1:6">
      <c r="A56" s="38" t="s">
        <v>117</v>
      </c>
      <c r="B56" s="14" t="s">
        <v>43</v>
      </c>
      <c r="C56" s="14">
        <f>650</f>
        <v>650</v>
      </c>
    </row>
    <row r="57" spans="1:6" s="5" customFormat="1">
      <c r="B57" s="20" t="s">
        <v>44</v>
      </c>
      <c r="C57" s="18">
        <f>650</f>
        <v>650</v>
      </c>
    </row>
    <row r="58" spans="1:6">
      <c r="B58" s="14" t="s">
        <v>45</v>
      </c>
      <c r="C58" s="14">
        <f>C59+C60+C61</f>
        <v>-525</v>
      </c>
    </row>
    <row r="59" spans="1:6">
      <c r="B59" s="18" t="s">
        <v>46</v>
      </c>
      <c r="C59" s="18">
        <v>-25</v>
      </c>
    </row>
    <row r="60" spans="1:6">
      <c r="B60" s="18" t="s">
        <v>29</v>
      </c>
      <c r="C60" s="18">
        <v>-300</v>
      </c>
    </row>
    <row r="61" spans="1:6">
      <c r="B61" s="18" t="s">
        <v>47</v>
      </c>
      <c r="C61" s="18">
        <v>-200</v>
      </c>
    </row>
    <row r="62" spans="1:6">
      <c r="B62" s="14" t="s">
        <v>48</v>
      </c>
      <c r="C62" s="14">
        <f>C56+C58</f>
        <v>125</v>
      </c>
    </row>
    <row r="63" spans="1:6" s="33" customFormat="1" ht="16.2" thickBot="1">
      <c r="B63" s="19"/>
      <c r="C63" s="19"/>
    </row>
    <row r="64" spans="1:6" ht="16.2" thickBot="1">
      <c r="B64" s="48" t="s">
        <v>49</v>
      </c>
      <c r="C64" s="49"/>
      <c r="D64" s="49"/>
      <c r="E64" s="49"/>
      <c r="F64" s="50"/>
    </row>
    <row r="65" spans="1:6">
      <c r="A65" s="38" t="s">
        <v>118</v>
      </c>
      <c r="B65" s="41" t="s">
        <v>39</v>
      </c>
      <c r="C65" s="42"/>
      <c r="D65" s="43"/>
      <c r="E65" s="42" t="s">
        <v>41</v>
      </c>
      <c r="F65" s="44"/>
    </row>
    <row r="66" spans="1:6">
      <c r="B66" s="23" t="s">
        <v>50</v>
      </c>
      <c r="C66" s="14">
        <f>4000-600-200+550</f>
        <v>3750</v>
      </c>
      <c r="D66" s="36" t="str">
        <f ca="1">_xlfn.FORMULATEXT(C66)</f>
        <v>=4000-600-200+550</v>
      </c>
      <c r="E66" s="21" t="s">
        <v>51</v>
      </c>
      <c r="F66" s="24">
        <v>1500</v>
      </c>
    </row>
    <row r="67" spans="1:6">
      <c r="B67" s="23" t="s">
        <v>52</v>
      </c>
      <c r="C67" s="14">
        <f>650-550</f>
        <v>100</v>
      </c>
      <c r="D67" s="19" t="str">
        <f ca="1">_xlfn.FORMULATEXT(C67)</f>
        <v>=650-550</v>
      </c>
      <c r="E67" s="22" t="s">
        <v>42</v>
      </c>
      <c r="F67" s="45"/>
    </row>
    <row r="68" spans="1:6" ht="13.95" customHeight="1">
      <c r="B68" s="23" t="s">
        <v>53</v>
      </c>
      <c r="C68" s="14">
        <v>300</v>
      </c>
      <c r="E68" s="21" t="s">
        <v>97</v>
      </c>
      <c r="F68" s="24">
        <v>4000</v>
      </c>
    </row>
    <row r="69" spans="1:6" ht="13.95" customHeight="1">
      <c r="B69" s="23" t="s">
        <v>54</v>
      </c>
      <c r="C69" s="14">
        <f>1500-25</f>
        <v>1475</v>
      </c>
      <c r="D69" s="19" t="str">
        <f ca="1">_xlfn.FORMULATEXT(C69)</f>
        <v>=1500-25</v>
      </c>
      <c r="E69" s="21" t="s">
        <v>48</v>
      </c>
      <c r="F69" s="24">
        <f>C62</f>
        <v>125</v>
      </c>
    </row>
    <row r="70" spans="1:6" ht="13.95" customHeight="1" thickBot="1">
      <c r="B70" s="46" t="s">
        <v>98</v>
      </c>
      <c r="C70" s="40">
        <f>SUM(C66:C69)</f>
        <v>5625</v>
      </c>
      <c r="D70" s="47"/>
      <c r="E70" s="39" t="s">
        <v>55</v>
      </c>
      <c r="F70" s="25">
        <f>F66+F68+F69</f>
        <v>5625</v>
      </c>
    </row>
    <row r="72" spans="1:6" s="12" customFormat="1"/>
    <row r="73" spans="1:6">
      <c r="A73" s="29" t="s">
        <v>56</v>
      </c>
      <c r="B73" s="30" t="s">
        <v>81</v>
      </c>
      <c r="C73" s="29"/>
      <c r="D73" s="29"/>
      <c r="E73" s="29"/>
    </row>
    <row r="74" spans="1:6">
      <c r="A74" s="2" t="s">
        <v>57</v>
      </c>
    </row>
    <row r="75" spans="1:6">
      <c r="A75" s="2" t="s">
        <v>58</v>
      </c>
    </row>
    <row r="76" spans="1:6">
      <c r="A76" s="2" t="s">
        <v>59</v>
      </c>
    </row>
    <row r="77" spans="1:6">
      <c r="A77" s="15" t="s">
        <v>99</v>
      </c>
      <c r="B77" s="26">
        <v>30000</v>
      </c>
    </row>
    <row r="78" spans="1:6">
      <c r="A78" s="15" t="s">
        <v>100</v>
      </c>
      <c r="B78" s="26">
        <v>30000</v>
      </c>
    </row>
    <row r="79" spans="1:6">
      <c r="A79" s="2"/>
    </row>
    <row r="80" spans="1:6">
      <c r="A80" s="2" t="s">
        <v>60</v>
      </c>
    </row>
    <row r="81" spans="1:2">
      <c r="A81" s="15" t="s">
        <v>61</v>
      </c>
      <c r="B81" s="14">
        <v>27000</v>
      </c>
    </row>
    <row r="82" spans="1:2">
      <c r="A82" s="15" t="s">
        <v>62</v>
      </c>
      <c r="B82" s="14">
        <v>27000</v>
      </c>
    </row>
    <row r="83" spans="1:2">
      <c r="A83" s="2" t="s">
        <v>63</v>
      </c>
    </row>
    <row r="84" spans="1:2">
      <c r="A84" s="15" t="s">
        <v>61</v>
      </c>
      <c r="B84" s="14">
        <v>-30000</v>
      </c>
    </row>
    <row r="85" spans="1:2">
      <c r="A85" s="15" t="s">
        <v>62</v>
      </c>
      <c r="B85" s="14">
        <v>-30000</v>
      </c>
    </row>
    <row r="86" spans="1:2">
      <c r="A86" s="15" t="s">
        <v>61</v>
      </c>
      <c r="B86" s="14">
        <v>300000</v>
      </c>
    </row>
    <row r="87" spans="1:2">
      <c r="A87" s="15" t="s">
        <v>62</v>
      </c>
      <c r="B87" s="14">
        <v>300000</v>
      </c>
    </row>
    <row r="88" spans="1:2">
      <c r="A88" s="2"/>
    </row>
    <row r="89" spans="1:2">
      <c r="A89" s="2"/>
    </row>
    <row r="90" spans="1:2">
      <c r="A90" s="2"/>
    </row>
    <row r="91" spans="1:2">
      <c r="A91" s="2" t="s">
        <v>64</v>
      </c>
    </row>
    <row r="92" spans="1:2">
      <c r="A92" s="2" t="s">
        <v>65</v>
      </c>
    </row>
    <row r="93" spans="1:2">
      <c r="A93" s="2" t="s">
        <v>66</v>
      </c>
    </row>
    <row r="94" spans="1:2">
      <c r="A94" s="15" t="s">
        <v>101</v>
      </c>
      <c r="B94" s="14" t="s">
        <v>102</v>
      </c>
    </row>
    <row r="95" spans="1:2">
      <c r="A95" s="15" t="s">
        <v>103</v>
      </c>
      <c r="B95" s="14" t="s">
        <v>102</v>
      </c>
    </row>
    <row r="96" spans="1:2">
      <c r="A96" s="2"/>
    </row>
    <row r="97" spans="1:2">
      <c r="A97" s="2" t="s">
        <v>67</v>
      </c>
    </row>
    <row r="98" spans="1:2">
      <c r="A98" s="15" t="s">
        <v>68</v>
      </c>
      <c r="B98" s="14">
        <v>-7000</v>
      </c>
    </row>
    <row r="99" spans="1:2">
      <c r="A99" s="15" t="s">
        <v>69</v>
      </c>
      <c r="B99" s="14">
        <v>-7000</v>
      </c>
    </row>
    <row r="100" spans="1:2">
      <c r="A100" s="15" t="s">
        <v>70</v>
      </c>
      <c r="B100" s="14">
        <v>7000</v>
      </c>
    </row>
    <row r="101" spans="1:2">
      <c r="A101" s="15" t="s">
        <v>69</v>
      </c>
      <c r="B101" s="14">
        <v>7000</v>
      </c>
    </row>
    <row r="102" spans="1:2">
      <c r="A102" s="2"/>
    </row>
    <row r="103" spans="1:2">
      <c r="A103" s="2" t="s">
        <v>64</v>
      </c>
    </row>
    <row r="104" spans="1:2">
      <c r="A104" s="2" t="s">
        <v>71</v>
      </c>
    </row>
    <row r="105" spans="1:2">
      <c r="A105" s="2" t="s">
        <v>59</v>
      </c>
    </row>
    <row r="106" spans="1:2">
      <c r="A106" s="15" t="s">
        <v>104</v>
      </c>
      <c r="B106" s="14" t="s">
        <v>105</v>
      </c>
    </row>
    <row r="107" spans="1:2">
      <c r="A107" s="15" t="s">
        <v>106</v>
      </c>
      <c r="B107" s="14" t="s">
        <v>105</v>
      </c>
    </row>
    <row r="108" spans="1:2">
      <c r="A108" s="2"/>
    </row>
    <row r="109" spans="1:2">
      <c r="A109" s="6" t="s">
        <v>72</v>
      </c>
      <c r="B109" s="7"/>
    </row>
    <row r="110" spans="1:2">
      <c r="A110" s="27" t="s">
        <v>73</v>
      </c>
      <c r="B110" s="28">
        <v>-5000</v>
      </c>
    </row>
    <row r="111" spans="1:2">
      <c r="A111" s="27" t="s">
        <v>74</v>
      </c>
      <c r="B111" s="28">
        <v>-5000</v>
      </c>
    </row>
    <row r="112" spans="1:2">
      <c r="A112" s="27" t="s">
        <v>75</v>
      </c>
      <c r="B112" s="28">
        <v>5000</v>
      </c>
    </row>
    <row r="113" spans="1:2">
      <c r="A113" s="27" t="s">
        <v>76</v>
      </c>
      <c r="B113" s="28">
        <v>5000</v>
      </c>
    </row>
    <row r="114" spans="1:2">
      <c r="A114" s="2" t="s">
        <v>64</v>
      </c>
    </row>
    <row r="115" spans="1:2">
      <c r="A115" s="2" t="s">
        <v>77</v>
      </c>
    </row>
    <row r="116" spans="1:2">
      <c r="A116" s="2" t="s">
        <v>59</v>
      </c>
    </row>
    <row r="117" spans="1:2">
      <c r="A117" s="15" t="s">
        <v>108</v>
      </c>
      <c r="B117" s="14" t="s">
        <v>107</v>
      </c>
    </row>
    <row r="118" spans="1:2" ht="16.2" customHeight="1">
      <c r="A118" s="15" t="s">
        <v>109</v>
      </c>
      <c r="B118" s="14" t="s">
        <v>107</v>
      </c>
    </row>
    <row r="119" spans="1:2" ht="16.2" customHeight="1">
      <c r="A119" s="2"/>
    </row>
    <row r="120" spans="1:2" ht="16.2" customHeight="1">
      <c r="A120" s="2" t="s">
        <v>67</v>
      </c>
    </row>
    <row r="121" spans="1:2" ht="16.2" customHeight="1">
      <c r="A121" s="15" t="s">
        <v>78</v>
      </c>
      <c r="B121" s="14">
        <v>-9000</v>
      </c>
    </row>
    <row r="122" spans="1:2" ht="16.2" customHeight="1">
      <c r="A122" s="15" t="s">
        <v>79</v>
      </c>
      <c r="B122" s="14">
        <v>-9000</v>
      </c>
    </row>
    <row r="123" spans="1:2" ht="16.2" customHeight="1">
      <c r="A123" s="15" t="s">
        <v>63</v>
      </c>
      <c r="B123" s="14"/>
    </row>
    <row r="124" spans="1:2" ht="16.2" customHeight="1">
      <c r="A124" s="15" t="s">
        <v>78</v>
      </c>
      <c r="B124" s="14">
        <v>-10000</v>
      </c>
    </row>
    <row r="125" spans="1:2" ht="16.2" customHeight="1">
      <c r="A125" s="15" t="s">
        <v>79</v>
      </c>
      <c r="B125" s="14">
        <v>-10000</v>
      </c>
    </row>
    <row r="126" spans="1:2" ht="16.2" customHeight="1">
      <c r="A126" s="15" t="s">
        <v>78</v>
      </c>
      <c r="B126" s="14">
        <v>1000</v>
      </c>
    </row>
    <row r="127" spans="1:2">
      <c r="A127" s="15" t="s">
        <v>79</v>
      </c>
      <c r="B127" s="14">
        <v>1000</v>
      </c>
    </row>
    <row r="128" spans="1:2">
      <c r="A128" s="2"/>
    </row>
    <row r="129" spans="1:8" s="12" customFormat="1">
      <c r="A129" s="13"/>
    </row>
    <row r="130" spans="1:8">
      <c r="A130" s="2" t="s">
        <v>80</v>
      </c>
    </row>
    <row r="131" spans="1:8">
      <c r="A131" s="2"/>
    </row>
    <row r="133" spans="1:8">
      <c r="H133" s="8"/>
    </row>
    <row r="135" spans="1:8">
      <c r="A135" s="1" t="s">
        <v>80</v>
      </c>
    </row>
    <row r="146" spans="2:7">
      <c r="F146"/>
      <c r="G146"/>
    </row>
    <row r="147" spans="2:7">
      <c r="F147"/>
      <c r="G147"/>
    </row>
    <row r="148" spans="2:7">
      <c r="F148"/>
      <c r="G148"/>
    </row>
    <row r="149" spans="2:7">
      <c r="F149"/>
      <c r="G149"/>
    </row>
    <row r="150" spans="2:7">
      <c r="F150"/>
      <c r="G150"/>
    </row>
    <row r="151" spans="2:7">
      <c r="F151"/>
      <c r="G151"/>
    </row>
    <row r="152" spans="2:7" s="29" customFormat="1">
      <c r="F152"/>
      <c r="G152"/>
    </row>
    <row r="153" spans="2:7" s="29" customFormat="1">
      <c r="B153" s="31" t="s">
        <v>110</v>
      </c>
      <c r="C153" s="35">
        <f>6000+1000+5000</f>
        <v>12000</v>
      </c>
      <c r="D153" s="34" t="str">
        <f ca="1">_xlfn.FORMULATEXT(C153)</f>
        <v>=6000+1000+5000</v>
      </c>
      <c r="G153"/>
    </row>
    <row r="154" spans="2:7" s="29" customFormat="1">
      <c r="B154" s="31" t="s">
        <v>112</v>
      </c>
      <c r="C154" s="35">
        <f>21000-5000-5000</f>
        <v>11000</v>
      </c>
      <c r="D154" s="34" t="str">
        <f t="shared" ref="D154:D159" ca="1" si="0">_xlfn.FORMULATEXT(C154)</f>
        <v>=21000-5000-5000</v>
      </c>
      <c r="G154"/>
    </row>
    <row r="155" spans="2:7" s="29" customFormat="1">
      <c r="B155" s="31" t="s">
        <v>114</v>
      </c>
      <c r="C155" s="35">
        <f>2000+4000-1000</f>
        <v>5000</v>
      </c>
      <c r="D155" s="34" t="str">
        <f t="shared" ca="1" si="0"/>
        <v>=2000+4000-1000</v>
      </c>
      <c r="G155"/>
    </row>
    <row r="156" spans="2:7" s="29" customFormat="1">
      <c r="B156" s="31" t="s">
        <v>116</v>
      </c>
      <c r="C156" s="35">
        <f>5000+5000-3000</f>
        <v>7000</v>
      </c>
      <c r="D156" s="34" t="str">
        <f t="shared" ca="1" si="0"/>
        <v>=5000+5000-3000</v>
      </c>
      <c r="E156" s="34"/>
      <c r="F156" s="34"/>
      <c r="G156"/>
    </row>
    <row r="157" spans="2:7" s="29" customFormat="1">
      <c r="B157" s="31" t="s">
        <v>111</v>
      </c>
      <c r="C157" s="35">
        <f>12000+21000-17000</f>
        <v>16000</v>
      </c>
      <c r="D157" s="34" t="str">
        <f t="shared" ca="1" si="0"/>
        <v>=12000+21000-17000</v>
      </c>
      <c r="F157"/>
      <c r="G157"/>
    </row>
    <row r="158" spans="2:7" s="29" customFormat="1">
      <c r="B158" s="31" t="s">
        <v>113</v>
      </c>
      <c r="C158" s="35">
        <f>6000+11000-8000</f>
        <v>9000</v>
      </c>
      <c r="D158" s="34" t="str">
        <f t="shared" ca="1" si="0"/>
        <v>=6000+11000-8000</v>
      </c>
      <c r="F158"/>
      <c r="G158"/>
    </row>
    <row r="159" spans="2:7" s="29" customFormat="1">
      <c r="B159" s="31" t="s">
        <v>115</v>
      </c>
      <c r="C159" s="35">
        <f>16000-9000-4000</f>
        <v>3000</v>
      </c>
      <c r="D159" s="34" t="str">
        <f t="shared" ca="1" si="0"/>
        <v>=16000-9000-4000</v>
      </c>
      <c r="F159"/>
      <c r="G159"/>
    </row>
    <row r="160" spans="2:7">
      <c r="F160"/>
      <c r="G160"/>
    </row>
    <row r="162" spans="1:3" s="12" customFormat="1"/>
    <row r="165" spans="1:3">
      <c r="A165" s="1" t="s">
        <v>82</v>
      </c>
    </row>
    <row r="166" spans="1:3">
      <c r="A166" s="1" t="s">
        <v>83</v>
      </c>
    </row>
    <row r="167" spans="1:3">
      <c r="A167" s="9" t="s">
        <v>84</v>
      </c>
    </row>
    <row r="168" spans="1:3">
      <c r="A168" s="1" t="s">
        <v>85</v>
      </c>
    </row>
    <row r="169" spans="1:3" s="33" customFormat="1"/>
    <row r="170" spans="1:3">
      <c r="A170" s="32" t="s">
        <v>86</v>
      </c>
    </row>
    <row r="171" spans="1:3" ht="31.2">
      <c r="A171" s="37" t="s">
        <v>87</v>
      </c>
      <c r="B171" s="14">
        <v>20000</v>
      </c>
    </row>
    <row r="172" spans="1:3">
      <c r="A172" s="14" t="s">
        <v>69</v>
      </c>
      <c r="B172" s="14">
        <v>20000</v>
      </c>
    </row>
    <row r="173" spans="1:3" s="33" customFormat="1">
      <c r="A173" s="19"/>
      <c r="B173" s="19"/>
    </row>
    <row r="174" spans="1:3">
      <c r="A174" s="32" t="s">
        <v>88</v>
      </c>
    </row>
    <row r="175" spans="1:3">
      <c r="A175" s="14" t="s">
        <v>89</v>
      </c>
      <c r="B175" s="14">
        <f>(20000-4000)/8/12*3</f>
        <v>500</v>
      </c>
      <c r="C175" s="1" t="str">
        <f ca="1">_xlfn.FORMULATEXT(B175)</f>
        <v>=(20000-4000)/8/12*3</v>
      </c>
    </row>
    <row r="176" spans="1:3">
      <c r="A176" s="14" t="s">
        <v>90</v>
      </c>
      <c r="B176" s="14">
        <v>500</v>
      </c>
      <c r="C176" s="1" t="s">
        <v>91</v>
      </c>
    </row>
    <row r="177" spans="1:3" s="33" customFormat="1">
      <c r="A177" s="19"/>
      <c r="B177" s="19"/>
    </row>
    <row r="178" spans="1:3">
      <c r="A178" s="32" t="s">
        <v>92</v>
      </c>
    </row>
    <row r="179" spans="1:3">
      <c r="A179" s="14" t="s">
        <v>89</v>
      </c>
      <c r="B179" s="14">
        <f>(20000-4000)/8</f>
        <v>2000</v>
      </c>
      <c r="C179" s="1" t="str">
        <f ca="1">_xlfn.FORMULATEXT(B179)</f>
        <v>=(20000-4000)/8</v>
      </c>
    </row>
    <row r="180" spans="1:3">
      <c r="A180" s="14" t="s">
        <v>90</v>
      </c>
      <c r="B180" s="14">
        <v>2000</v>
      </c>
    </row>
    <row r="181" spans="1:3" s="33" customFormat="1">
      <c r="A181" s="19"/>
      <c r="B181" s="19"/>
    </row>
    <row r="182" spans="1:3">
      <c r="A182" s="32" t="s">
        <v>93</v>
      </c>
    </row>
    <row r="183" spans="1:3">
      <c r="A183" s="14" t="s">
        <v>94</v>
      </c>
      <c r="B183" s="14">
        <f>B171-B175-B179</f>
        <v>17500</v>
      </c>
      <c r="C183" s="1" t="str">
        <f ca="1">_xlfn.FORMULATEXT(B183)</f>
        <v>=B171-B175-B179</v>
      </c>
    </row>
    <row r="185" spans="1:3">
      <c r="A185" s="32" t="s">
        <v>95</v>
      </c>
    </row>
    <row r="186" spans="1:3">
      <c r="A186" s="14" t="s">
        <v>96</v>
      </c>
      <c r="B186" s="14">
        <f>500+2000+2000</f>
        <v>4500</v>
      </c>
      <c r="C186" s="1" t="str">
        <f ca="1">_xlfn.FORMULATEXT(B186)</f>
        <v>=500+2000+2000</v>
      </c>
    </row>
  </sheetData>
  <mergeCells count="4">
    <mergeCell ref="B65:C65"/>
    <mergeCell ref="E65:F65"/>
    <mergeCell ref="E67:F67"/>
    <mergeCell ref="B64:F6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Erik Lüllman</dc:creator>
  <cp:lastModifiedBy>markus Lüllman</cp:lastModifiedBy>
  <dcterms:created xsi:type="dcterms:W3CDTF">2026-07-13T14:26:30Z</dcterms:created>
  <dcterms:modified xsi:type="dcterms:W3CDTF">2026-07-17T16:49:33Z</dcterms:modified>
</cp:coreProperties>
</file>