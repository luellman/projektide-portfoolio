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98c36b14c3f46f3/Desktop/finantsarvestus-raamatupidamine/"/>
    </mc:Choice>
  </mc:AlternateContent>
  <xr:revisionPtr revIDLastSave="93" documentId="8_{D64233F8-DAB0-4FB0-8813-7A9BFAA7CF84}" xr6:coauthVersionLast="47" xr6:coauthVersionMax="47" xr10:uidLastSave="{0CD3BF55-75BD-4881-B7E7-9E9135A7A7B5}"/>
  <bookViews>
    <workbookView xWindow="-108" yWindow="-108" windowWidth="23256" windowHeight="12456" activeTab="3" xr2:uid="{2AB0EF5E-7DE1-42C3-A198-BFCB0D28969C}"/>
  </bookViews>
  <sheets>
    <sheet name="Tekst" sheetId="1" r:id="rId1"/>
    <sheet name="Majandustehingud" sheetId="2" r:id="rId2"/>
    <sheet name="Päevaraamat" sheetId="3" r:id="rId3"/>
    <sheet name="T-kontod" sheetId="4" r:id="rId4"/>
    <sheet name="Käibeandmik" sheetId="5" r:id="rId5"/>
    <sheet name="Bilans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9" i="6" l="1"/>
  <c r="D28" i="6"/>
  <c r="D34" i="6" s="1"/>
  <c r="D25" i="6"/>
  <c r="D9" i="6"/>
  <c r="D8" i="6"/>
  <c r="G20" i="5"/>
  <c r="E20" i="5"/>
  <c r="I19" i="5"/>
  <c r="I18" i="5"/>
  <c r="I17" i="5"/>
  <c r="I14" i="5"/>
  <c r="D7" i="6" s="1"/>
  <c r="D16" i="6" s="1"/>
  <c r="D26" i="6" s="1"/>
  <c r="D7" i="5"/>
  <c r="H7" i="5" s="1"/>
  <c r="B10" i="6" s="1"/>
  <c r="F5" i="5"/>
  <c r="D5" i="5"/>
  <c r="T40" i="4"/>
  <c r="P40" i="4"/>
  <c r="B40" i="4"/>
  <c r="P34" i="4"/>
  <c r="H34" i="4"/>
  <c r="D12" i="5" s="1"/>
  <c r="B34" i="4"/>
  <c r="D8" i="5" s="1"/>
  <c r="H8" i="5" s="1"/>
  <c r="P30" i="4"/>
  <c r="B30" i="4"/>
  <c r="N25" i="4"/>
  <c r="P24" i="4"/>
  <c r="H24" i="4"/>
  <c r="D11" i="5" s="1"/>
  <c r="B24" i="4"/>
  <c r="D9" i="5" s="1"/>
  <c r="H9" i="5" s="1"/>
  <c r="B6" i="6" s="1"/>
  <c r="V20" i="4"/>
  <c r="T20" i="4"/>
  <c r="P20" i="4"/>
  <c r="N20" i="4"/>
  <c r="J20" i="4"/>
  <c r="H20" i="4"/>
  <c r="V14" i="4"/>
  <c r="P14" i="4"/>
  <c r="H14" i="4"/>
  <c r="D10" i="5" s="1"/>
  <c r="H10" i="5" s="1"/>
  <c r="B11" i="6" s="1"/>
  <c r="B14" i="4"/>
  <c r="B11" i="4"/>
  <c r="V10" i="4"/>
  <c r="T10" i="4"/>
  <c r="H10" i="4"/>
  <c r="V4" i="4"/>
  <c r="P4" i="4"/>
  <c r="H4" i="4"/>
  <c r="B4" i="4"/>
  <c r="E21" i="3"/>
  <c r="N35" i="4" s="1"/>
  <c r="N40" i="4" s="1"/>
  <c r="F16" i="5" s="1"/>
  <c r="I16" i="5" s="1"/>
  <c r="F20" i="3"/>
  <c r="D17" i="4" s="1"/>
  <c r="F19" i="3"/>
  <c r="P6" i="4" s="1"/>
  <c r="E18" i="3"/>
  <c r="H25" i="4" s="1"/>
  <c r="H30" i="4" s="1"/>
  <c r="F17" i="3"/>
  <c r="J5" i="4" s="1"/>
  <c r="E16" i="3"/>
  <c r="B17" i="4" s="1"/>
  <c r="E15" i="3"/>
  <c r="N26" i="4" s="1"/>
  <c r="F14" i="3"/>
  <c r="D16" i="4" s="1"/>
  <c r="F13" i="3"/>
  <c r="D25" i="4" s="1"/>
  <c r="D30" i="4" s="1"/>
  <c r="E12" i="3"/>
  <c r="B16" i="4" s="1"/>
  <c r="E11" i="3"/>
  <c r="B15" i="4" s="1"/>
  <c r="F10" i="3"/>
  <c r="D35" i="4" s="1"/>
  <c r="D40" i="4" s="1"/>
  <c r="E9" i="3"/>
  <c r="F8" i="3"/>
  <c r="V35" i="4" s="1"/>
  <c r="V40" i="4" s="1"/>
  <c r="V41" i="4" s="1"/>
  <c r="F7" i="3"/>
  <c r="P5" i="4" s="1"/>
  <c r="E6" i="3"/>
  <c r="H35" i="4" s="1"/>
  <c r="H40" i="4" s="1"/>
  <c r="F12" i="5" s="1"/>
  <c r="E5" i="3"/>
  <c r="F4" i="3"/>
  <c r="B16" i="1"/>
  <c r="N30" i="4" l="1"/>
  <c r="F15" i="5" s="1"/>
  <c r="I15" i="5" s="1"/>
  <c r="E22" i="3"/>
  <c r="P10" i="4"/>
  <c r="P41" i="4"/>
  <c r="N5" i="4"/>
  <c r="N10" i="4" s="1"/>
  <c r="F13" i="5" s="1"/>
  <c r="I13" i="5" s="1"/>
  <c r="I20" i="5" s="1"/>
  <c r="F22" i="3"/>
  <c r="H11" i="4"/>
  <c r="V11" i="4"/>
  <c r="P21" i="4"/>
  <c r="B31" i="4"/>
  <c r="V21" i="4"/>
  <c r="P31" i="4"/>
  <c r="B20" i="4"/>
  <c r="F6" i="5" s="1"/>
  <c r="H12" i="5"/>
  <c r="B18" i="6" s="1"/>
  <c r="B34" i="6" s="1"/>
  <c r="H41" i="4"/>
  <c r="B41" i="4"/>
  <c r="H31" i="4"/>
  <c r="F11" i="5"/>
  <c r="H11" i="5" s="1"/>
  <c r="B9" i="6" s="1"/>
  <c r="D35" i="6"/>
  <c r="H5" i="5"/>
  <c r="D6" i="5"/>
  <c r="D15" i="4"/>
  <c r="D20" i="4" s="1"/>
  <c r="H21" i="4"/>
  <c r="P11" i="4" l="1"/>
  <c r="F20" i="5"/>
  <c r="B21" i="4"/>
  <c r="H6" i="5"/>
  <c r="B7" i="6" s="1"/>
  <c r="B8" i="6"/>
  <c r="D20" i="5"/>
  <c r="B16" i="6" l="1"/>
  <c r="B35" i="6" s="1"/>
  <c r="H20" i="5"/>
</calcChain>
</file>

<file path=xl/sharedStrings.xml><?xml version="1.0" encoding="utf-8"?>
<sst xmlns="http://schemas.openxmlformats.org/spreadsheetml/2006/main" count="275" uniqueCount="96">
  <si>
    <t>Aktsiakapital</t>
  </si>
  <si>
    <t>Ostjatelt laekumata arved</t>
  </si>
  <si>
    <t>Arvelduskonto</t>
  </si>
  <si>
    <t>Materiaalne põhivara</t>
  </si>
  <si>
    <t>Eelmiste aastate jaotamata kasum/kahjum</t>
  </si>
  <si>
    <t>Kassa</t>
  </si>
  <si>
    <t>Ettemaksed ostjatelt</t>
  </si>
  <si>
    <t>Kaup</t>
  </si>
  <si>
    <t>Laekumata intressid</t>
  </si>
  <si>
    <t>Lühiajaline laen OÜ-le AAV</t>
  </si>
  <si>
    <t>Lühiajalise investeeringuna soetatud AS Alias aktsiad</t>
  </si>
  <si>
    <t>Palgavõlg</t>
  </si>
  <si>
    <t>Sotsiaalmaksu võlg</t>
  </si>
  <si>
    <t>Võlad tarnijatele</t>
  </si>
  <si>
    <t>Kokku</t>
  </si>
  <si>
    <t>Ülesande lahendamiseks:</t>
  </si>
  <si>
    <t>1.      Teha korrigeerimiskanded päevaraamatus.</t>
  </si>
  <si>
    <t>2.      Koostada kontode korrigeeritud jääkide alusel bilanss seisuga 31.12.20x2.</t>
  </si>
  <si>
    <t>1.</t>
  </si>
  <si>
    <t>Arvelduskontolt tasuti kogu võlg tarnijatele</t>
  </si>
  <si>
    <t>2.</t>
  </si>
  <si>
    <t>Osteti sõiduautosid, arve tasumata</t>
  </si>
  <si>
    <t>3.</t>
  </si>
  <si>
    <t>Peeti kinni tulumaksu</t>
  </si>
  <si>
    <t>4.</t>
  </si>
  <si>
    <t>Pangakontole laekusid intressid</t>
  </si>
  <si>
    <t>5.</t>
  </si>
  <si>
    <t>Laekus ostjatelt</t>
  </si>
  <si>
    <t>6.</t>
  </si>
  <si>
    <t>Maksti palgavõlg</t>
  </si>
  <si>
    <t>7.</t>
  </si>
  <si>
    <t>Müüdi pooled aktsiad, summa laekus panka</t>
  </si>
  <si>
    <t>8.</t>
  </si>
  <si>
    <t>Osteti kaupa, arve tasumata</t>
  </si>
  <si>
    <t>9.</t>
  </si>
  <si>
    <t>Maksti sotsiaalmaksuvõlg</t>
  </si>
  <si>
    <t>PÄEVARAAMAT</t>
  </si>
  <si>
    <t>Jrk nr</t>
  </si>
  <si>
    <t>Kuupäev</t>
  </si>
  <si>
    <t>Raamatupidamiskande sisu</t>
  </si>
  <si>
    <t xml:space="preserve">Konto </t>
  </si>
  <si>
    <t>Summa</t>
  </si>
  <si>
    <t>DEEBET</t>
  </si>
  <si>
    <t>KREEDIT</t>
  </si>
  <si>
    <t>arvelduskonto</t>
  </si>
  <si>
    <t>võlad tarnijatele</t>
  </si>
  <si>
    <t>materiaalne põhivara</t>
  </si>
  <si>
    <t>tm võlg</t>
  </si>
  <si>
    <t>palgavõlg</t>
  </si>
  <si>
    <t>ostjatelt laekumata arved</t>
  </si>
  <si>
    <t>aktsiakapital</t>
  </si>
  <si>
    <t>kaup</t>
  </si>
  <si>
    <t>sm võlg</t>
  </si>
  <si>
    <t>kokku</t>
  </si>
  <si>
    <t>PEARAAMAT</t>
  </si>
  <si>
    <t>D</t>
  </si>
  <si>
    <t>K</t>
  </si>
  <si>
    <t>S0</t>
  </si>
  <si>
    <t>DK</t>
  </si>
  <si>
    <t>KK</t>
  </si>
  <si>
    <t>S1</t>
  </si>
  <si>
    <t>Üksikisiku tulumaksu võlg</t>
  </si>
  <si>
    <t>Käibeandmik</t>
  </si>
  <si>
    <t>Saldo 01.12.20X2</t>
  </si>
  <si>
    <t>Käibed dets. 20X2</t>
  </si>
  <si>
    <t>Saldo 31.12.20X2</t>
  </si>
  <si>
    <t xml:space="preserve">Jrk. nr. </t>
  </si>
  <si>
    <t xml:space="preserve">Konto nr. </t>
  </si>
  <si>
    <t>Konto nimetus</t>
  </si>
  <si>
    <t>Investeeringuna soetatud AS Alias aktsiad</t>
  </si>
  <si>
    <t>Materiaalsed põhivarad</t>
  </si>
  <si>
    <t>10.</t>
  </si>
  <si>
    <t>11.</t>
  </si>
  <si>
    <t>12.</t>
  </si>
  <si>
    <t>13.</t>
  </si>
  <si>
    <t>14.</t>
  </si>
  <si>
    <t>15.</t>
  </si>
  <si>
    <t>AKTIVA (varad)</t>
  </si>
  <si>
    <t>PASSIVA (kohustised ja omakapital)</t>
  </si>
  <si>
    <t>Käibevarad</t>
  </si>
  <si>
    <t>Kohustised</t>
  </si>
  <si>
    <t>Lühiajalised kohustised</t>
  </si>
  <si>
    <t>Käibevarad kokku</t>
  </si>
  <si>
    <t>Lühiajalised kohustised kokku</t>
  </si>
  <si>
    <t>Põhivarad</t>
  </si>
  <si>
    <t>Pikaajalised kohustised</t>
  </si>
  <si>
    <t>Pikaajalised kohustised kokku</t>
  </si>
  <si>
    <t>Kohustised kokku</t>
  </si>
  <si>
    <t>Omakapital</t>
  </si>
  <si>
    <t>Põhivarad kokku</t>
  </si>
  <si>
    <t>Omakapital kokku</t>
  </si>
  <si>
    <t>AKTIVA (VARAD) KOKKU</t>
  </si>
  <si>
    <t>PASSIVA KOKKU</t>
  </si>
  <si>
    <t>andmed</t>
  </si>
  <si>
    <t>majandustehingud</t>
  </si>
  <si>
    <t xml:space="preserve"> Bilanss (eurodes)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</si>
</sst>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€_-;\-* #,##0\ _€_-;_-* &quot;-&quot;\ _€_-;_-@_-"/>
  </numFmts>
  <fonts count="20" x14ac:knownFonts="1">
    <font>
      <sz val="11"/>
      <color theme="1"/>
      <name val="Calibri"/>
      <family val="2"/>
      <charset val="186"/>
      <scheme val="minor"/>
    </font>
    <font>
      <b/>
      <sz val="12"/>
      <color theme="1"/>
      <name val="Times New Roman"/>
      <family val="1"/>
      <charset val="186"/>
    </font>
    <font>
      <b/>
      <sz val="12"/>
      <color rgb="FFFF0000"/>
      <name val="Calibri"/>
      <family val="2"/>
      <charset val="186"/>
      <scheme val="minor"/>
    </font>
    <font>
      <sz val="12"/>
      <color theme="1"/>
      <name val="Calibri"/>
      <family val="2"/>
      <charset val="186"/>
      <scheme val="minor"/>
    </font>
    <font>
      <sz val="12"/>
      <color rgb="FF000000"/>
      <name val="Times New Roman"/>
      <family val="1"/>
      <charset val="186"/>
    </font>
    <font>
      <b/>
      <u/>
      <sz val="12"/>
      <color theme="1"/>
      <name val="Times New Roman"/>
      <family val="1"/>
      <charset val="186"/>
    </font>
    <font>
      <sz val="12"/>
      <color theme="1"/>
      <name val="Times New Roman"/>
      <family val="1"/>
      <charset val="186"/>
    </font>
    <font>
      <sz val="12"/>
      <name val="Times New Roman"/>
      <family val="1"/>
      <charset val="186"/>
    </font>
    <font>
      <b/>
      <i/>
      <sz val="12"/>
      <name val="Comic Sans MS"/>
      <family val="4"/>
    </font>
    <font>
      <b/>
      <sz val="10"/>
      <name val="Times New Roman"/>
      <family val="1"/>
      <charset val="186"/>
    </font>
    <font>
      <b/>
      <sz val="11"/>
      <color theme="1"/>
      <name val="Times New Roman"/>
      <family val="1"/>
      <charset val="186"/>
    </font>
    <font>
      <sz val="10"/>
      <name val="Arial"/>
      <family val="2"/>
    </font>
    <font>
      <b/>
      <sz val="16"/>
      <color theme="1"/>
      <name val="Calibri"/>
      <family val="2"/>
      <charset val="186"/>
      <scheme val="minor"/>
    </font>
    <font>
      <sz val="13"/>
      <color theme="1"/>
      <name val="Calibri"/>
      <family val="2"/>
      <charset val="186"/>
      <scheme val="minor"/>
    </font>
    <font>
      <b/>
      <sz val="14"/>
      <name val="Times New Roman"/>
      <family val="1"/>
      <charset val="186"/>
    </font>
    <font>
      <b/>
      <i/>
      <sz val="14"/>
      <name val="Comic Sans MS"/>
      <family val="4"/>
    </font>
    <font>
      <b/>
      <i/>
      <sz val="12"/>
      <name val="Times New Roman"/>
      <family val="1"/>
      <charset val="186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/>
    </xf>
    <xf numFmtId="3" fontId="4" fillId="2" borderId="0" xfId="0" applyNumberFormat="1" applyFont="1" applyFill="1" applyAlignment="1">
      <alignment horizontal="right" vertical="center"/>
    </xf>
    <xf numFmtId="0" fontId="3" fillId="2" borderId="0" xfId="0" applyFont="1" applyFill="1"/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/>
    <xf numFmtId="0" fontId="7" fillId="0" borderId="2" xfId="0" applyFont="1" applyBorder="1" applyAlignment="1">
      <alignment vertical="center"/>
    </xf>
    <xf numFmtId="3" fontId="0" fillId="0" borderId="1" xfId="0" applyNumberFormat="1" applyBorder="1"/>
    <xf numFmtId="0" fontId="9" fillId="0" borderId="5" xfId="0" applyFont="1" applyBorder="1" applyAlignment="1">
      <alignment horizont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3" fontId="7" fillId="0" borderId="7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3" fontId="4" fillId="2" borderId="1" xfId="0" applyNumberFormat="1" applyFont="1" applyFill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0" fontId="11" fillId="0" borderId="1" xfId="0" applyFont="1" applyBorder="1"/>
    <xf numFmtId="0" fontId="4" fillId="2" borderId="1" xfId="0" applyFont="1" applyFill="1" applyBorder="1" applyAlignment="1">
      <alignment vertical="center"/>
    </xf>
    <xf numFmtId="3" fontId="7" fillId="0" borderId="2" xfId="0" applyNumberFormat="1" applyFont="1" applyBorder="1" applyAlignment="1">
      <alignment horizontal="right" vertical="center"/>
    </xf>
    <xf numFmtId="0" fontId="8" fillId="0" borderId="0" xfId="0" applyFont="1"/>
    <xf numFmtId="0" fontId="11" fillId="0" borderId="8" xfId="0" applyFont="1" applyBorder="1"/>
    <xf numFmtId="0" fontId="11" fillId="0" borderId="8" xfId="0" applyFont="1" applyBorder="1" applyAlignment="1">
      <alignment horizontal="right"/>
    </xf>
    <xf numFmtId="0" fontId="11" fillId="0" borderId="0" xfId="0" applyFont="1" applyAlignment="1">
      <alignment horizontal="right"/>
    </xf>
    <xf numFmtId="0" fontId="11" fillId="0" borderId="0" xfId="0" applyFont="1"/>
    <xf numFmtId="0" fontId="11" fillId="0" borderId="9" xfId="0" applyFont="1" applyBorder="1"/>
    <xf numFmtId="3" fontId="11" fillId="0" borderId="9" xfId="0" applyNumberFormat="1" applyFont="1" applyBorder="1"/>
    <xf numFmtId="0" fontId="11" fillId="0" borderId="6" xfId="0" applyFont="1" applyBorder="1"/>
    <xf numFmtId="0" fontId="11" fillId="0" borderId="13" xfId="0" applyFont="1" applyBorder="1"/>
    <xf numFmtId="0" fontId="11" fillId="0" borderId="14" xfId="0" applyFont="1" applyBorder="1"/>
    <xf numFmtId="3" fontId="11" fillId="0" borderId="13" xfId="0" applyNumberFormat="1" applyFont="1" applyBorder="1"/>
    <xf numFmtId="3" fontId="11" fillId="0" borderId="0" xfId="0" applyNumberFormat="1" applyFont="1"/>
    <xf numFmtId="0" fontId="11" fillId="0" borderId="15" xfId="0" applyFont="1" applyBorder="1"/>
    <xf numFmtId="164" fontId="11" fillId="0" borderId="0" xfId="0" applyNumberFormat="1" applyFont="1"/>
    <xf numFmtId="164" fontId="11" fillId="0" borderId="0" xfId="0" applyNumberFormat="1" applyFont="1" applyAlignment="1">
      <alignment horizontal="right"/>
    </xf>
    <xf numFmtId="0" fontId="13" fillId="0" borderId="0" xfId="0" applyFont="1"/>
    <xf numFmtId="0" fontId="13" fillId="0" borderId="1" xfId="0" applyFont="1" applyBorder="1"/>
    <xf numFmtId="3" fontId="13" fillId="0" borderId="1" xfId="0" applyNumberFormat="1" applyFont="1" applyBorder="1"/>
    <xf numFmtId="0" fontId="13" fillId="0" borderId="1" xfId="0" applyFont="1" applyBorder="1" applyAlignment="1">
      <alignment wrapText="1"/>
    </xf>
    <xf numFmtId="0" fontId="14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/>
    </xf>
    <xf numFmtId="0" fontId="15" fillId="0" borderId="0" xfId="0" applyFont="1"/>
    <xf numFmtId="0" fontId="16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vertical="center" wrapText="1"/>
    </xf>
    <xf numFmtId="0" fontId="16" fillId="0" borderId="21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0" fontId="16" fillId="0" borderId="22" xfId="0" applyFont="1" applyBorder="1" applyAlignment="1">
      <alignment horizontal="left" vertical="center"/>
    </xf>
    <xf numFmtId="3" fontId="16" fillId="0" borderId="23" xfId="0" applyNumberFormat="1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16" fillId="0" borderId="23" xfId="0" applyFont="1" applyBorder="1" applyAlignment="1">
      <alignment horizontal="left" vertical="center"/>
    </xf>
    <xf numFmtId="0" fontId="9" fillId="0" borderId="24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 wrapText="1"/>
    </xf>
    <xf numFmtId="0" fontId="11" fillId="0" borderId="10" xfId="0" applyFont="1" applyBorder="1" applyAlignment="1">
      <alignment horizontal="left"/>
    </xf>
    <xf numFmtId="3" fontId="11" fillId="0" borderId="10" xfId="0" applyNumberFormat="1" applyFont="1" applyBorder="1" applyAlignment="1">
      <alignment horizontal="right"/>
    </xf>
    <xf numFmtId="0" fontId="11" fillId="0" borderId="10" xfId="0" applyFont="1" applyBorder="1" applyAlignment="1">
      <alignment horizontal="right"/>
    </xf>
    <xf numFmtId="0" fontId="11" fillId="0" borderId="11" xfId="0" applyFont="1" applyBorder="1" applyAlignment="1">
      <alignment horizontal="left"/>
    </xf>
    <xf numFmtId="3" fontId="11" fillId="0" borderId="11" xfId="0" applyNumberFormat="1" applyFont="1" applyBorder="1" applyAlignment="1">
      <alignment horizontal="right"/>
    </xf>
    <xf numFmtId="0" fontId="11" fillId="0" borderId="11" xfId="0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3" fontId="11" fillId="0" borderId="12" xfId="0" applyNumberFormat="1" applyFont="1" applyBorder="1" applyAlignment="1">
      <alignment horizontal="right"/>
    </xf>
    <xf numFmtId="164" fontId="11" fillId="0" borderId="12" xfId="0" applyNumberFormat="1" applyFont="1" applyBorder="1" applyAlignment="1">
      <alignment horizontal="right"/>
    </xf>
    <xf numFmtId="0" fontId="11" fillId="0" borderId="16" xfId="0" applyFont="1" applyBorder="1" applyAlignment="1">
      <alignment horizontal="left"/>
    </xf>
    <xf numFmtId="164" fontId="11" fillId="0" borderId="16" xfId="0" applyNumberFormat="1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6" fillId="0" borderId="0" xfId="0" applyFont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3" fontId="11" fillId="0" borderId="1" xfId="0" applyNumberFormat="1" applyFont="1" applyBorder="1"/>
    <xf numFmtId="0" fontId="18" fillId="0" borderId="1" xfId="0" applyFont="1" applyBorder="1"/>
    <xf numFmtId="3" fontId="18" fillId="0" borderId="1" xfId="0" applyNumberFormat="1" applyFont="1" applyBorder="1"/>
    <xf numFmtId="0" fontId="15" fillId="3" borderId="1" xfId="0" applyFont="1" applyFill="1" applyBorder="1" applyAlignment="1">
      <alignment horizontal="center"/>
    </xf>
    <xf numFmtId="0" fontId="9" fillId="0" borderId="1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left" vertical="center"/>
    </xf>
    <xf numFmtId="3" fontId="19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C7C1-B2C5-4DCF-AFDA-CBAAA037ED6C}">
  <dimension ref="A1:E21"/>
  <sheetViews>
    <sheetView zoomScale="78" zoomScaleNormal="115" workbookViewId="0">
      <selection activeCell="D8" sqref="D8"/>
    </sheetView>
  </sheetViews>
  <sheetFormatPr defaultColWidth="8.77734375" defaultRowHeight="15.6" x14ac:dyDescent="0.3"/>
  <cols>
    <col min="1" max="1" width="46.77734375" style="2" customWidth="1"/>
    <col min="2" max="2" width="21.21875" style="2" customWidth="1"/>
    <col min="3" max="3" width="8.77734375" style="2"/>
    <col min="4" max="4" width="24.77734375" style="2" customWidth="1"/>
    <col min="5" max="16384" width="8.77734375" style="2"/>
  </cols>
  <sheetData>
    <row r="1" spans="1:5" ht="17.25" customHeight="1" x14ac:dyDescent="0.3">
      <c r="A1" s="77" t="s">
        <v>93</v>
      </c>
      <c r="B1" s="78"/>
      <c r="C1" s="76"/>
      <c r="D1" s="76"/>
      <c r="E1" s="1"/>
    </row>
    <row r="2" spans="1:5" s="5" customFormat="1" x14ac:dyDescent="0.3">
      <c r="A2" s="23" t="s">
        <v>0</v>
      </c>
      <c r="B2" s="20">
        <v>600000</v>
      </c>
    </row>
    <row r="3" spans="1:5" s="5" customFormat="1" x14ac:dyDescent="0.3">
      <c r="A3" s="23" t="s">
        <v>1</v>
      </c>
      <c r="B3" s="20">
        <v>60100</v>
      </c>
    </row>
    <row r="4" spans="1:5" s="5" customFormat="1" x14ac:dyDescent="0.3">
      <c r="A4" s="23" t="s">
        <v>2</v>
      </c>
      <c r="B4" s="20">
        <v>55900</v>
      </c>
    </row>
    <row r="5" spans="1:5" s="5" customFormat="1" x14ac:dyDescent="0.3">
      <c r="A5" s="23" t="s">
        <v>3</v>
      </c>
      <c r="B5" s="20">
        <v>420000</v>
      </c>
    </row>
    <row r="6" spans="1:5" s="5" customFormat="1" x14ac:dyDescent="0.3">
      <c r="A6" s="23" t="s">
        <v>4</v>
      </c>
      <c r="B6" s="20">
        <v>160800</v>
      </c>
    </row>
    <row r="7" spans="1:5" s="5" customFormat="1" x14ac:dyDescent="0.3">
      <c r="A7" s="23" t="s">
        <v>5</v>
      </c>
      <c r="B7" s="20">
        <v>4065</v>
      </c>
    </row>
    <row r="8" spans="1:5" s="5" customFormat="1" x14ac:dyDescent="0.3">
      <c r="A8" s="23" t="s">
        <v>6</v>
      </c>
      <c r="B8" s="20">
        <v>35200</v>
      </c>
    </row>
    <row r="9" spans="1:5" s="5" customFormat="1" x14ac:dyDescent="0.3">
      <c r="A9" s="23" t="s">
        <v>7</v>
      </c>
      <c r="B9" s="20">
        <v>299870</v>
      </c>
    </row>
    <row r="10" spans="1:5" s="5" customFormat="1" x14ac:dyDescent="0.3">
      <c r="A10" s="23" t="s">
        <v>8</v>
      </c>
      <c r="B10" s="20">
        <v>2550</v>
      </c>
    </row>
    <row r="11" spans="1:5" s="5" customFormat="1" x14ac:dyDescent="0.3">
      <c r="A11" s="23" t="s">
        <v>9</v>
      </c>
      <c r="B11" s="20">
        <v>51000</v>
      </c>
    </row>
    <row r="12" spans="1:5" s="5" customFormat="1" x14ac:dyDescent="0.3">
      <c r="A12" s="23" t="s">
        <v>10</v>
      </c>
      <c r="B12" s="20">
        <v>20000</v>
      </c>
    </row>
    <row r="13" spans="1:5" s="5" customFormat="1" x14ac:dyDescent="0.3">
      <c r="A13" s="23" t="s">
        <v>11</v>
      </c>
      <c r="B13" s="20">
        <v>58560</v>
      </c>
    </row>
    <row r="14" spans="1:5" s="5" customFormat="1" x14ac:dyDescent="0.3">
      <c r="A14" s="23" t="s">
        <v>12</v>
      </c>
      <c r="B14" s="20">
        <v>19325</v>
      </c>
    </row>
    <row r="15" spans="1:5" s="5" customFormat="1" x14ac:dyDescent="0.3">
      <c r="A15" s="23" t="s">
        <v>13</v>
      </c>
      <c r="B15" s="20">
        <v>39600</v>
      </c>
    </row>
    <row r="16" spans="1:5" s="5" customFormat="1" x14ac:dyDescent="0.3">
      <c r="A16" s="23" t="s">
        <v>14</v>
      </c>
      <c r="B16" s="20">
        <f>SUM(B2:B15)</f>
        <v>1826970</v>
      </c>
    </row>
    <row r="17" spans="1:4" s="5" customFormat="1" x14ac:dyDescent="0.3">
      <c r="A17" s="3"/>
      <c r="B17" s="4"/>
    </row>
    <row r="18" spans="1:4" x14ac:dyDescent="0.3">
      <c r="A18" s="6"/>
      <c r="B18" s="7"/>
    </row>
    <row r="19" spans="1:4" x14ac:dyDescent="0.3">
      <c r="A19" s="8" t="s">
        <v>15</v>
      </c>
    </row>
    <row r="20" spans="1:4" x14ac:dyDescent="0.3">
      <c r="A20" s="9" t="s">
        <v>16</v>
      </c>
    </row>
    <row r="21" spans="1:4" x14ac:dyDescent="0.3">
      <c r="A21" s="71" t="s">
        <v>17</v>
      </c>
      <c r="B21" s="71"/>
      <c r="C21" s="71"/>
      <c r="D21" s="71"/>
    </row>
  </sheetData>
  <mergeCells count="2">
    <mergeCell ref="A21:D21"/>
    <mergeCell ref="A1:B1"/>
  </mergeCells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32593-E908-490F-A259-28D3EE29B183}">
  <dimension ref="A2:C11"/>
  <sheetViews>
    <sheetView zoomScale="115" zoomScaleNormal="115" workbookViewId="0">
      <selection activeCell="G10" sqref="G10"/>
    </sheetView>
  </sheetViews>
  <sheetFormatPr defaultRowHeight="14.4" x14ac:dyDescent="0.3"/>
  <cols>
    <col min="2" max="2" width="41" bestFit="1" customWidth="1"/>
  </cols>
  <sheetData>
    <row r="2" spans="1:3" x14ac:dyDescent="0.3">
      <c r="A2" s="79" t="s">
        <v>94</v>
      </c>
      <c r="B2" s="79"/>
      <c r="C2" s="79"/>
    </row>
    <row r="3" spans="1:3" ht="15.6" x14ac:dyDescent="0.3">
      <c r="A3" s="10" t="s">
        <v>18</v>
      </c>
      <c r="B3" s="11" t="s">
        <v>19</v>
      </c>
      <c r="C3" s="12"/>
    </row>
    <row r="4" spans="1:3" ht="15.6" x14ac:dyDescent="0.3">
      <c r="A4" s="13" t="s">
        <v>20</v>
      </c>
      <c r="B4" s="11" t="s">
        <v>21</v>
      </c>
      <c r="C4" s="14">
        <v>121000</v>
      </c>
    </row>
    <row r="5" spans="1:3" ht="15.6" x14ac:dyDescent="0.3">
      <c r="A5" s="13" t="s">
        <v>22</v>
      </c>
      <c r="B5" s="11" t="s">
        <v>23</v>
      </c>
      <c r="C5" s="14">
        <v>13920</v>
      </c>
    </row>
    <row r="6" spans="1:3" ht="15.6" x14ac:dyDescent="0.3">
      <c r="A6" s="13" t="s">
        <v>24</v>
      </c>
      <c r="B6" s="11" t="s">
        <v>25</v>
      </c>
      <c r="C6" s="12">
        <v>2550</v>
      </c>
    </row>
    <row r="7" spans="1:3" ht="15.6" x14ac:dyDescent="0.3">
      <c r="A7" s="13" t="s">
        <v>26</v>
      </c>
      <c r="B7" s="11" t="s">
        <v>27</v>
      </c>
      <c r="C7" s="14">
        <v>48370</v>
      </c>
    </row>
    <row r="8" spans="1:3" ht="15.6" x14ac:dyDescent="0.3">
      <c r="A8" s="13" t="s">
        <v>28</v>
      </c>
      <c r="B8" s="11" t="s">
        <v>29</v>
      </c>
      <c r="C8" s="14">
        <v>44640</v>
      </c>
    </row>
    <row r="9" spans="1:3" ht="15.6" x14ac:dyDescent="0.3">
      <c r="A9" s="13" t="s">
        <v>30</v>
      </c>
      <c r="B9" s="11" t="s">
        <v>31</v>
      </c>
      <c r="C9" s="14">
        <v>10000</v>
      </c>
    </row>
    <row r="10" spans="1:3" ht="15.6" x14ac:dyDescent="0.3">
      <c r="A10" s="13" t="s">
        <v>32</v>
      </c>
      <c r="B10" s="11" t="s">
        <v>33</v>
      </c>
      <c r="C10" s="14">
        <v>24600</v>
      </c>
    </row>
    <row r="11" spans="1:3" ht="15.6" x14ac:dyDescent="0.3">
      <c r="A11" s="13" t="s">
        <v>34</v>
      </c>
      <c r="B11" s="11" t="s">
        <v>35</v>
      </c>
      <c r="C11" s="14">
        <v>19325</v>
      </c>
    </row>
  </sheetData>
  <mergeCells count="1"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3672C-56AC-41C5-A86B-2BC023A32DC7}">
  <dimension ref="A1:F22"/>
  <sheetViews>
    <sheetView zoomScale="78" workbookViewId="0">
      <selection activeCell="M19" sqref="M19"/>
    </sheetView>
  </sheetViews>
  <sheetFormatPr defaultRowHeight="14.4" x14ac:dyDescent="0.3"/>
  <cols>
    <col min="1" max="1" width="6.5546875" customWidth="1"/>
    <col min="2" max="2" width="8.77734375" customWidth="1"/>
    <col min="3" max="3" width="48.77734375" customWidth="1"/>
    <col min="4" max="4" width="23.88671875" customWidth="1"/>
    <col min="5" max="6" width="11.77734375" customWidth="1"/>
  </cols>
  <sheetData>
    <row r="1" spans="1:6" ht="19.8" x14ac:dyDescent="0.5">
      <c r="A1" s="93" t="s">
        <v>36</v>
      </c>
      <c r="B1" s="93"/>
      <c r="C1" s="93"/>
      <c r="D1" s="93"/>
      <c r="E1" s="93"/>
      <c r="F1" s="93"/>
    </row>
    <row r="2" spans="1:6" x14ac:dyDescent="0.3">
      <c r="A2" s="87" t="s">
        <v>37</v>
      </c>
      <c r="B2" s="88" t="s">
        <v>38</v>
      </c>
      <c r="C2" s="89" t="s">
        <v>39</v>
      </c>
      <c r="D2" s="90" t="s">
        <v>40</v>
      </c>
      <c r="E2" s="91" t="s">
        <v>41</v>
      </c>
      <c r="F2" s="92"/>
    </row>
    <row r="3" spans="1:6" ht="15" thickBot="1" x14ac:dyDescent="0.35">
      <c r="A3" s="72"/>
      <c r="B3" s="73"/>
      <c r="C3" s="74"/>
      <c r="D3" s="75"/>
      <c r="E3" s="15" t="s">
        <v>42</v>
      </c>
      <c r="F3" s="56" t="s">
        <v>43</v>
      </c>
    </row>
    <row r="4" spans="1:6" ht="15.6" x14ac:dyDescent="0.3">
      <c r="A4" s="13">
        <v>1</v>
      </c>
      <c r="B4" s="16"/>
      <c r="C4" s="11" t="s">
        <v>19</v>
      </c>
      <c r="D4" s="17" t="s">
        <v>44</v>
      </c>
      <c r="E4" s="18"/>
      <c r="F4" s="20">
        <f>Tekst!B15</f>
        <v>39600</v>
      </c>
    </row>
    <row r="5" spans="1:6" ht="15.6" x14ac:dyDescent="0.3">
      <c r="A5" s="13"/>
      <c r="B5" s="16"/>
      <c r="C5" s="11"/>
      <c r="D5" s="19" t="s">
        <v>45</v>
      </c>
      <c r="E5" s="20">
        <f>Tekst!B15</f>
        <v>39600</v>
      </c>
      <c r="F5" s="21"/>
    </row>
    <row r="6" spans="1:6" ht="15.6" x14ac:dyDescent="0.3">
      <c r="A6" s="13">
        <v>2</v>
      </c>
      <c r="B6" s="16"/>
      <c r="C6" s="11" t="s">
        <v>21</v>
      </c>
      <c r="D6" s="19" t="s">
        <v>46</v>
      </c>
      <c r="E6" s="14">
        <f>Majandustehingud!C4</f>
        <v>121000</v>
      </c>
      <c r="F6" s="21"/>
    </row>
    <row r="7" spans="1:6" ht="15.6" x14ac:dyDescent="0.3">
      <c r="A7" s="13"/>
      <c r="B7" s="16"/>
      <c r="C7" s="11"/>
      <c r="D7" s="22" t="s">
        <v>45</v>
      </c>
      <c r="E7" s="22"/>
      <c r="F7" s="14">
        <f>Majandustehingud!C4</f>
        <v>121000</v>
      </c>
    </row>
    <row r="8" spans="1:6" ht="15.6" x14ac:dyDescent="0.3">
      <c r="A8" s="13">
        <v>3</v>
      </c>
      <c r="B8" s="16"/>
      <c r="C8" s="11" t="s">
        <v>23</v>
      </c>
      <c r="D8" s="19" t="s">
        <v>47</v>
      </c>
      <c r="F8" s="14">
        <f>Majandustehingud!C5</f>
        <v>13920</v>
      </c>
    </row>
    <row r="9" spans="1:6" ht="15.6" x14ac:dyDescent="0.3">
      <c r="A9" s="13"/>
      <c r="B9" s="16"/>
      <c r="C9" s="11"/>
      <c r="D9" s="19" t="s">
        <v>48</v>
      </c>
      <c r="E9" s="14">
        <f>Majandustehingud!C5</f>
        <v>13920</v>
      </c>
      <c r="F9" s="12"/>
    </row>
    <row r="10" spans="1:6" ht="15.6" x14ac:dyDescent="0.3">
      <c r="A10" s="13">
        <v>4</v>
      </c>
      <c r="B10" s="16"/>
      <c r="C10" s="11" t="s">
        <v>25</v>
      </c>
      <c r="D10" s="23" t="s">
        <v>8</v>
      </c>
      <c r="E10" s="21"/>
      <c r="F10" s="12">
        <f>Majandustehingud!C6</f>
        <v>2550</v>
      </c>
    </row>
    <row r="11" spans="1:6" ht="15.6" x14ac:dyDescent="0.3">
      <c r="A11" s="13"/>
      <c r="B11" s="16"/>
      <c r="C11" s="11"/>
      <c r="D11" s="11" t="s">
        <v>44</v>
      </c>
      <c r="E11" s="12">
        <f>Majandustehingud!C6</f>
        <v>2550</v>
      </c>
      <c r="F11" s="24"/>
    </row>
    <row r="12" spans="1:6" ht="15.6" x14ac:dyDescent="0.3">
      <c r="A12" s="13">
        <v>5</v>
      </c>
      <c r="B12" s="16"/>
      <c r="C12" s="11" t="s">
        <v>27</v>
      </c>
      <c r="D12" s="11" t="s">
        <v>44</v>
      </c>
      <c r="E12" s="14">
        <f>Majandustehingud!C7</f>
        <v>48370</v>
      </c>
      <c r="F12" s="24"/>
    </row>
    <row r="13" spans="1:6" ht="15.6" x14ac:dyDescent="0.3">
      <c r="A13" s="13"/>
      <c r="B13" s="16"/>
      <c r="C13" s="11"/>
      <c r="D13" s="3" t="s">
        <v>49</v>
      </c>
      <c r="E13" s="24"/>
      <c r="F13" s="14">
        <f>Majandustehingud!C7</f>
        <v>48370</v>
      </c>
    </row>
    <row r="14" spans="1:6" ht="15.6" x14ac:dyDescent="0.3">
      <c r="A14" s="13">
        <v>6</v>
      </c>
      <c r="B14" s="16"/>
      <c r="C14" s="11" t="s">
        <v>29</v>
      </c>
      <c r="D14" s="19" t="s">
        <v>44</v>
      </c>
      <c r="E14" s="24"/>
      <c r="F14" s="14">
        <f>Majandustehingud!C8</f>
        <v>44640</v>
      </c>
    </row>
    <row r="15" spans="1:6" ht="15.6" x14ac:dyDescent="0.3">
      <c r="A15" s="13"/>
      <c r="B15" s="16"/>
      <c r="C15" s="11"/>
      <c r="D15" s="19" t="s">
        <v>48</v>
      </c>
      <c r="E15" s="14">
        <f>Majandustehingud!C8</f>
        <v>44640</v>
      </c>
      <c r="F15" s="24"/>
    </row>
    <row r="16" spans="1:6" ht="15.6" x14ac:dyDescent="0.3">
      <c r="A16" s="13">
        <v>7</v>
      </c>
      <c r="B16" s="16"/>
      <c r="C16" s="11" t="s">
        <v>31</v>
      </c>
      <c r="D16" s="19" t="s">
        <v>44</v>
      </c>
      <c r="E16" s="14">
        <f>Majandustehingud!C9</f>
        <v>10000</v>
      </c>
      <c r="F16" s="24"/>
    </row>
    <row r="17" spans="1:6" ht="15.6" x14ac:dyDescent="0.3">
      <c r="A17" s="13"/>
      <c r="B17" s="16"/>
      <c r="C17" s="11"/>
      <c r="D17" s="19" t="s">
        <v>50</v>
      </c>
      <c r="E17" s="24"/>
      <c r="F17" s="14">
        <f>Majandustehingud!C9</f>
        <v>10000</v>
      </c>
    </row>
    <row r="18" spans="1:6" ht="15.6" x14ac:dyDescent="0.3">
      <c r="A18" s="13">
        <v>8</v>
      </c>
      <c r="B18" s="16"/>
      <c r="C18" s="11" t="s">
        <v>33</v>
      </c>
      <c r="D18" s="11" t="s">
        <v>51</v>
      </c>
      <c r="E18" s="14">
        <f>Majandustehingud!C10</f>
        <v>24600</v>
      </c>
      <c r="F18" s="24"/>
    </row>
    <row r="19" spans="1:6" ht="15.6" x14ac:dyDescent="0.3">
      <c r="A19" s="13"/>
      <c r="B19" s="16"/>
      <c r="C19" s="11"/>
      <c r="D19" s="19" t="s">
        <v>45</v>
      </c>
      <c r="E19" s="24"/>
      <c r="F19" s="14">
        <f>Majandustehingud!C10</f>
        <v>24600</v>
      </c>
    </row>
    <row r="20" spans="1:6" ht="15.6" x14ac:dyDescent="0.3">
      <c r="A20" s="13">
        <v>9</v>
      </c>
      <c r="B20" s="16"/>
      <c r="C20" s="11" t="s">
        <v>35</v>
      </c>
      <c r="D20" s="11" t="s">
        <v>44</v>
      </c>
      <c r="E20" s="24"/>
      <c r="F20" s="14">
        <f>Majandustehingud!C11</f>
        <v>19325</v>
      </c>
    </row>
    <row r="21" spans="1:6" ht="15.6" x14ac:dyDescent="0.3">
      <c r="A21" s="13"/>
      <c r="B21" s="16"/>
      <c r="C21" s="11"/>
      <c r="D21" s="19" t="s">
        <v>52</v>
      </c>
      <c r="E21" s="14">
        <f>Majandustehingud!C11</f>
        <v>19325</v>
      </c>
      <c r="F21" s="24"/>
    </row>
    <row r="22" spans="1:6" ht="15.6" x14ac:dyDescent="0.3">
      <c r="A22" s="13"/>
      <c r="B22" s="16"/>
      <c r="C22" s="11"/>
      <c r="D22" s="94" t="s">
        <v>53</v>
      </c>
      <c r="E22" s="95">
        <f>SUM(E4:E21)</f>
        <v>324005</v>
      </c>
      <c r="F22" s="95">
        <f>SUM(F4:F21)</f>
        <v>324005</v>
      </c>
    </row>
  </sheetData>
  <mergeCells count="6">
    <mergeCell ref="A1:F1"/>
    <mergeCell ref="A2:A3"/>
    <mergeCell ref="B2:B3"/>
    <mergeCell ref="C2:C3"/>
    <mergeCell ref="D2:D3"/>
    <mergeCell ref="E2:F2"/>
  </mergeCells>
  <pageMargins left="0.7" right="0.7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79B97-E9B1-403B-A680-1668064E2654}">
  <dimension ref="A1:Z41"/>
  <sheetViews>
    <sheetView tabSelected="1" zoomScale="86" zoomScaleNormal="87" workbookViewId="0">
      <selection activeCell="Y3" sqref="Y3"/>
    </sheetView>
  </sheetViews>
  <sheetFormatPr defaultRowHeight="14.4" x14ac:dyDescent="0.3"/>
  <cols>
    <col min="1" max="1" width="2.77734375" customWidth="1"/>
    <col min="2" max="2" width="12.77734375" customWidth="1"/>
    <col min="3" max="3" width="2.77734375" customWidth="1"/>
    <col min="4" max="4" width="10.77734375" customWidth="1"/>
    <col min="5" max="5" width="2.77734375" customWidth="1"/>
    <col min="6" max="6" width="2.5546875" customWidth="1"/>
    <col min="7" max="7" width="2.77734375" customWidth="1"/>
    <col min="8" max="8" width="12.77734375" customWidth="1"/>
    <col min="9" max="9" width="2.77734375" customWidth="1"/>
    <col min="10" max="10" width="10.77734375" customWidth="1"/>
    <col min="11" max="13" width="2.77734375" customWidth="1"/>
    <col min="14" max="14" width="12.77734375" customWidth="1"/>
    <col min="15" max="15" width="2.77734375" customWidth="1"/>
    <col min="16" max="16" width="10.77734375" customWidth="1"/>
    <col min="17" max="17" width="2.77734375" customWidth="1"/>
    <col min="18" max="18" width="3.5546875" customWidth="1"/>
    <col min="19" max="19" width="2.77734375" customWidth="1"/>
    <col min="20" max="20" width="12.77734375" customWidth="1"/>
    <col min="21" max="21" width="2.77734375" customWidth="1"/>
    <col min="22" max="22" width="10.77734375" customWidth="1"/>
    <col min="23" max="23" width="2.77734375" customWidth="1"/>
    <col min="25" max="25" width="4" bestFit="1" customWidth="1"/>
  </cols>
  <sheetData>
    <row r="1" spans="1:25" ht="19.8" x14ac:dyDescent="0.5">
      <c r="A1" s="25" t="s">
        <v>54</v>
      </c>
      <c r="D1" s="25"/>
    </row>
    <row r="3" spans="1:25" ht="16.2" customHeight="1" thickBot="1" x14ac:dyDescent="0.35">
      <c r="A3" s="26" t="s">
        <v>55</v>
      </c>
      <c r="B3" s="57" t="s">
        <v>5</v>
      </c>
      <c r="C3" s="57"/>
      <c r="D3" s="57"/>
      <c r="E3" s="27" t="s">
        <v>56</v>
      </c>
      <c r="F3" s="28"/>
      <c r="G3" s="26" t="s">
        <v>55</v>
      </c>
      <c r="H3" s="58" t="s">
        <v>10</v>
      </c>
      <c r="I3" s="58"/>
      <c r="J3" s="58"/>
      <c r="K3" s="27" t="s">
        <v>56</v>
      </c>
      <c r="L3" s="29"/>
      <c r="M3" s="26" t="s">
        <v>55</v>
      </c>
      <c r="N3" s="57" t="s">
        <v>13</v>
      </c>
      <c r="O3" s="57"/>
      <c r="P3" s="57"/>
      <c r="Q3" s="27" t="s">
        <v>56</v>
      </c>
      <c r="R3" s="29"/>
      <c r="S3" s="26" t="s">
        <v>55</v>
      </c>
      <c r="T3" s="57" t="s">
        <v>0</v>
      </c>
      <c r="U3" s="57"/>
      <c r="V3" s="57"/>
      <c r="W3" s="27" t="s">
        <v>56</v>
      </c>
      <c r="X3" s="29"/>
      <c r="Y3" s="28"/>
    </row>
    <row r="4" spans="1:25" x14ac:dyDescent="0.3">
      <c r="A4" s="30" t="s">
        <v>57</v>
      </c>
      <c r="B4" s="31">
        <f>Tekst!B7</f>
        <v>4065</v>
      </c>
      <c r="C4" s="32"/>
      <c r="D4" s="59"/>
      <c r="E4" s="59"/>
      <c r="F4" s="29"/>
      <c r="G4" s="30" t="s">
        <v>57</v>
      </c>
      <c r="H4" s="31">
        <f>Tekst!B12</f>
        <v>20000</v>
      </c>
      <c r="I4" s="32"/>
      <c r="J4" s="59"/>
      <c r="K4" s="59"/>
      <c r="L4" s="29"/>
      <c r="M4" s="30"/>
      <c r="N4" s="30"/>
      <c r="O4" s="32" t="s">
        <v>57</v>
      </c>
      <c r="P4" s="60">
        <f>Tekst!B15</f>
        <v>39600</v>
      </c>
      <c r="Q4" s="61"/>
      <c r="R4" s="29"/>
      <c r="S4" s="30"/>
      <c r="T4" s="30"/>
      <c r="U4" s="32" t="s">
        <v>57</v>
      </c>
      <c r="V4" s="60">
        <f>Tekst!B2</f>
        <v>600000</v>
      </c>
      <c r="W4" s="61"/>
      <c r="X4" s="29"/>
      <c r="Y4" s="29"/>
    </row>
    <row r="5" spans="1:25" x14ac:dyDescent="0.3">
      <c r="A5" s="30"/>
      <c r="B5" s="30"/>
      <c r="C5" s="32"/>
      <c r="D5" s="62"/>
      <c r="E5" s="62"/>
      <c r="F5" s="29"/>
      <c r="G5" s="30"/>
      <c r="H5" s="30"/>
      <c r="I5" s="32" t="s">
        <v>30</v>
      </c>
      <c r="J5" s="63">
        <f>Päevaraamat!F17</f>
        <v>10000</v>
      </c>
      <c r="K5" s="64"/>
      <c r="L5" s="29"/>
      <c r="M5" s="30" t="s">
        <v>18</v>
      </c>
      <c r="N5" s="31">
        <f>Päevaraamat!E5</f>
        <v>39600</v>
      </c>
      <c r="O5" s="32" t="s">
        <v>20</v>
      </c>
      <c r="P5" s="63">
        <f>Päevaraamat!F7</f>
        <v>121000</v>
      </c>
      <c r="Q5" s="64"/>
      <c r="R5" s="29"/>
      <c r="S5" s="30"/>
      <c r="T5" s="30"/>
      <c r="U5" s="32"/>
      <c r="V5" s="62"/>
      <c r="W5" s="62"/>
      <c r="X5" s="29"/>
      <c r="Y5" s="29"/>
    </row>
    <row r="6" spans="1:25" x14ac:dyDescent="0.3">
      <c r="A6" s="30"/>
      <c r="B6" s="30"/>
      <c r="C6" s="32"/>
      <c r="D6" s="62"/>
      <c r="E6" s="62"/>
      <c r="F6" s="29"/>
      <c r="G6" s="30"/>
      <c r="H6" s="30"/>
      <c r="I6" s="32"/>
      <c r="J6" s="62"/>
      <c r="K6" s="62"/>
      <c r="L6" s="29"/>
      <c r="M6" s="30"/>
      <c r="N6" s="30"/>
      <c r="O6" s="32" t="s">
        <v>32</v>
      </c>
      <c r="P6" s="63">
        <f>Päevaraamat!F19</f>
        <v>24600</v>
      </c>
      <c r="Q6" s="64"/>
      <c r="R6" s="29"/>
      <c r="S6" s="30"/>
      <c r="T6" s="30"/>
      <c r="U6" s="32"/>
      <c r="V6" s="62"/>
      <c r="W6" s="62"/>
      <c r="X6" s="29"/>
      <c r="Y6" s="29"/>
    </row>
    <row r="7" spans="1:25" x14ac:dyDescent="0.3">
      <c r="A7" s="30"/>
      <c r="B7" s="30"/>
      <c r="C7" s="32"/>
      <c r="D7" s="62"/>
      <c r="E7" s="62"/>
      <c r="F7" s="29"/>
      <c r="G7" s="30"/>
      <c r="H7" s="30"/>
      <c r="I7" s="32"/>
      <c r="J7" s="62"/>
      <c r="K7" s="62"/>
      <c r="L7" s="29"/>
      <c r="M7" s="30"/>
      <c r="N7" s="30"/>
      <c r="O7" s="32"/>
      <c r="P7" s="62"/>
      <c r="Q7" s="62"/>
      <c r="R7" s="29"/>
      <c r="S7" s="30"/>
      <c r="T7" s="30"/>
      <c r="U7" s="32"/>
      <c r="V7" s="62"/>
      <c r="W7" s="62"/>
      <c r="X7" s="29"/>
      <c r="Y7" s="29"/>
    </row>
    <row r="8" spans="1:25" x14ac:dyDescent="0.3">
      <c r="A8" s="30"/>
      <c r="B8" s="30"/>
      <c r="C8" s="32"/>
      <c r="D8" s="62"/>
      <c r="E8" s="62"/>
      <c r="F8" s="29"/>
      <c r="G8" s="30"/>
      <c r="H8" s="30"/>
      <c r="I8" s="32"/>
      <c r="J8" s="62"/>
      <c r="K8" s="62"/>
      <c r="L8" s="29"/>
      <c r="M8" s="30"/>
      <c r="N8" s="30"/>
      <c r="O8" s="32"/>
      <c r="P8" s="62"/>
      <c r="Q8" s="62"/>
      <c r="R8" s="29"/>
      <c r="S8" s="30"/>
      <c r="T8" s="30"/>
      <c r="U8" s="32"/>
      <c r="V8" s="62"/>
      <c r="W8" s="62"/>
      <c r="X8" s="29"/>
      <c r="Y8" s="29"/>
    </row>
    <row r="9" spans="1:25" ht="15" thickBot="1" x14ac:dyDescent="0.35">
      <c r="A9" s="33"/>
      <c r="B9" s="33"/>
      <c r="C9" s="34"/>
      <c r="D9" s="70"/>
      <c r="E9" s="70"/>
      <c r="F9" s="29"/>
      <c r="G9" s="33"/>
      <c r="H9" s="33"/>
      <c r="I9" s="34"/>
      <c r="J9" s="70"/>
      <c r="K9" s="70"/>
      <c r="L9" s="29"/>
      <c r="M9" s="33"/>
      <c r="N9" s="33"/>
      <c r="O9" s="34"/>
      <c r="P9" s="70"/>
      <c r="Q9" s="70"/>
      <c r="R9" s="29"/>
      <c r="S9" s="33"/>
      <c r="T9" s="33"/>
      <c r="U9" s="34"/>
      <c r="V9" s="70"/>
      <c r="W9" s="70"/>
      <c r="X9" s="29"/>
      <c r="Y9" s="29"/>
    </row>
    <row r="10" spans="1:25" ht="15" thickBot="1" x14ac:dyDescent="0.35">
      <c r="A10" s="26" t="s">
        <v>58</v>
      </c>
      <c r="B10" s="33">
        <v>0</v>
      </c>
      <c r="C10" s="34" t="s">
        <v>59</v>
      </c>
      <c r="D10" s="65">
        <v>0</v>
      </c>
      <c r="E10" s="65"/>
      <c r="F10" s="29"/>
      <c r="G10" s="26" t="s">
        <v>58</v>
      </c>
      <c r="H10" s="35">
        <f>SUM(H5:H9)</f>
        <v>0</v>
      </c>
      <c r="I10" s="34" t="s">
        <v>59</v>
      </c>
      <c r="J10" s="66">
        <v>10000</v>
      </c>
      <c r="K10" s="65"/>
      <c r="L10" s="29"/>
      <c r="M10" s="26" t="s">
        <v>58</v>
      </c>
      <c r="N10" s="35">
        <f>SUM(N5:N9)</f>
        <v>39600</v>
      </c>
      <c r="O10" s="34" t="s">
        <v>59</v>
      </c>
      <c r="P10" s="67">
        <f>SUM(P5:Q9)</f>
        <v>145600</v>
      </c>
      <c r="Q10" s="67"/>
      <c r="R10" s="29"/>
      <c r="S10" s="26" t="s">
        <v>58</v>
      </c>
      <c r="T10" s="35">
        <f>SUM(T5:T9)</f>
        <v>0</v>
      </c>
      <c r="U10" s="34" t="s">
        <v>59</v>
      </c>
      <c r="V10" s="67">
        <f>SUM(V5:W9)</f>
        <v>0</v>
      </c>
      <c r="W10" s="67"/>
      <c r="X10" s="29"/>
      <c r="Y10" s="29"/>
    </row>
    <row r="11" spans="1:25" x14ac:dyDescent="0.3">
      <c r="A11" s="29" t="s">
        <v>60</v>
      </c>
      <c r="B11" s="36">
        <f>B4+B10-D10</f>
        <v>4065</v>
      </c>
      <c r="C11" s="37"/>
      <c r="D11" s="68"/>
      <c r="E11" s="68"/>
      <c r="F11" s="29"/>
      <c r="G11" s="29" t="s">
        <v>60</v>
      </c>
      <c r="H11" s="36">
        <f>H4+H10-J10</f>
        <v>10000</v>
      </c>
      <c r="I11" s="37"/>
      <c r="J11" s="68"/>
      <c r="K11" s="68"/>
      <c r="L11" s="29"/>
      <c r="M11" s="29"/>
      <c r="N11" s="29"/>
      <c r="O11" s="37" t="s">
        <v>60</v>
      </c>
      <c r="P11" s="69">
        <f>P4+P10-N10</f>
        <v>145600</v>
      </c>
      <c r="Q11" s="68"/>
      <c r="R11" s="29"/>
      <c r="S11" s="29"/>
      <c r="T11" s="29"/>
      <c r="U11" s="37" t="s">
        <v>60</v>
      </c>
      <c r="V11" s="69">
        <f>V4+V10-T10</f>
        <v>600000</v>
      </c>
      <c r="W11" s="68"/>
      <c r="X11" s="29"/>
      <c r="Y11" s="29"/>
    </row>
    <row r="12" spans="1:25" x14ac:dyDescent="0.3">
      <c r="A12" s="29"/>
      <c r="B12" s="29"/>
      <c r="C12" s="29"/>
      <c r="D12" s="29"/>
      <c r="E12" s="28"/>
      <c r="F12" s="28"/>
      <c r="G12" s="29"/>
      <c r="H12" s="29"/>
      <c r="I12" s="29"/>
      <c r="J12" s="28"/>
      <c r="K12" s="28"/>
      <c r="L12" s="29"/>
      <c r="M12" s="29"/>
      <c r="N12" s="29"/>
      <c r="O12" s="28"/>
      <c r="P12" s="28"/>
      <c r="Q12" s="29"/>
      <c r="R12" s="29"/>
      <c r="S12" s="29"/>
      <c r="T12" s="28"/>
      <c r="U12" s="28"/>
      <c r="V12" s="29"/>
      <c r="W12" s="29"/>
      <c r="X12" s="29"/>
      <c r="Y12" s="28"/>
    </row>
    <row r="13" spans="1:25" ht="15" thickBot="1" x14ac:dyDescent="0.35">
      <c r="A13" s="26" t="s">
        <v>55</v>
      </c>
      <c r="B13" s="57" t="s">
        <v>2</v>
      </c>
      <c r="C13" s="57"/>
      <c r="D13" s="57"/>
      <c r="E13" s="27" t="s">
        <v>56</v>
      </c>
      <c r="F13" s="28"/>
      <c r="G13" s="26" t="s">
        <v>55</v>
      </c>
      <c r="H13" s="57" t="s">
        <v>9</v>
      </c>
      <c r="I13" s="57"/>
      <c r="J13" s="57"/>
      <c r="K13" s="27" t="s">
        <v>56</v>
      </c>
      <c r="L13" s="29"/>
      <c r="M13" s="26" t="s">
        <v>55</v>
      </c>
      <c r="N13" s="57" t="s">
        <v>6</v>
      </c>
      <c r="O13" s="57"/>
      <c r="P13" s="57"/>
      <c r="Q13" s="27" t="s">
        <v>56</v>
      </c>
      <c r="R13" s="29"/>
      <c r="S13" s="26" t="s">
        <v>55</v>
      </c>
      <c r="T13" s="58" t="s">
        <v>4</v>
      </c>
      <c r="U13" s="58"/>
      <c r="V13" s="58"/>
      <c r="W13" s="27" t="s">
        <v>56</v>
      </c>
      <c r="X13" s="29"/>
      <c r="Y13" s="29"/>
    </row>
    <row r="14" spans="1:25" x14ac:dyDescent="0.3">
      <c r="A14" s="30" t="s">
        <v>57</v>
      </c>
      <c r="B14" s="31">
        <f>Tekst!B4</f>
        <v>55900</v>
      </c>
      <c r="C14" s="32"/>
      <c r="D14" s="59"/>
      <c r="E14" s="59"/>
      <c r="F14" s="29"/>
      <c r="G14" s="30" t="s">
        <v>57</v>
      </c>
      <c r="H14" s="31">
        <f>Tekst!B11</f>
        <v>51000</v>
      </c>
      <c r="I14" s="32"/>
      <c r="J14" s="59"/>
      <c r="K14" s="59"/>
      <c r="L14" s="29"/>
      <c r="M14" s="30"/>
      <c r="N14" s="30"/>
      <c r="O14" s="32" t="s">
        <v>57</v>
      </c>
      <c r="P14" s="60">
        <f>Tekst!B8</f>
        <v>35200</v>
      </c>
      <c r="Q14" s="61"/>
      <c r="R14" s="29"/>
      <c r="S14" s="30"/>
      <c r="T14" s="30"/>
      <c r="U14" s="32" t="s">
        <v>57</v>
      </c>
      <c r="V14" s="60">
        <f>Tekst!B6</f>
        <v>160800</v>
      </c>
      <c r="W14" s="61"/>
      <c r="X14" s="29"/>
      <c r="Y14" s="29"/>
    </row>
    <row r="15" spans="1:25" x14ac:dyDescent="0.3">
      <c r="A15" s="30" t="s">
        <v>24</v>
      </c>
      <c r="B15" s="31">
        <f>Päevaraamat!E11</f>
        <v>2550</v>
      </c>
      <c r="C15" s="32" t="s">
        <v>18</v>
      </c>
      <c r="D15" s="63">
        <f>Päevaraamat!F4</f>
        <v>39600</v>
      </c>
      <c r="E15" s="64"/>
      <c r="F15" s="29"/>
      <c r="G15" s="30"/>
      <c r="H15" s="30"/>
      <c r="I15" s="32"/>
      <c r="J15" s="62"/>
      <c r="K15" s="62"/>
      <c r="L15" s="29"/>
      <c r="M15" s="30"/>
      <c r="N15" s="30"/>
      <c r="O15" s="32"/>
      <c r="P15" s="62"/>
      <c r="Q15" s="62"/>
      <c r="R15" s="29"/>
      <c r="S15" s="30"/>
      <c r="T15" s="30"/>
      <c r="U15" s="32"/>
      <c r="V15" s="62"/>
      <c r="W15" s="62"/>
      <c r="X15" s="29"/>
      <c r="Y15" s="29"/>
    </row>
    <row r="16" spans="1:25" x14ac:dyDescent="0.3">
      <c r="A16" s="30" t="s">
        <v>26</v>
      </c>
      <c r="B16" s="31">
        <f>Päevaraamat!E12</f>
        <v>48370</v>
      </c>
      <c r="C16" s="32" t="s">
        <v>28</v>
      </c>
      <c r="D16" s="63">
        <f>Päevaraamat!F14</f>
        <v>44640</v>
      </c>
      <c r="E16" s="64"/>
      <c r="F16" s="29"/>
      <c r="G16" s="30"/>
      <c r="H16" s="30"/>
      <c r="I16" s="32"/>
      <c r="J16" s="62"/>
      <c r="K16" s="62"/>
      <c r="L16" s="29"/>
      <c r="M16" s="30"/>
      <c r="N16" s="30"/>
      <c r="O16" s="32"/>
      <c r="P16" s="62"/>
      <c r="Q16" s="62"/>
      <c r="R16" s="29"/>
      <c r="S16" s="30"/>
      <c r="T16" s="30"/>
      <c r="U16" s="32"/>
      <c r="V16" s="62"/>
      <c r="W16" s="62"/>
      <c r="X16" s="29"/>
      <c r="Y16" s="29"/>
    </row>
    <row r="17" spans="1:26" x14ac:dyDescent="0.3">
      <c r="A17" s="30" t="s">
        <v>30</v>
      </c>
      <c r="B17" s="31">
        <f>Päevaraamat!E16</f>
        <v>10000</v>
      </c>
      <c r="C17" s="32" t="s">
        <v>34</v>
      </c>
      <c r="D17" s="63">
        <f>Päevaraamat!F20</f>
        <v>19325</v>
      </c>
      <c r="E17" s="64"/>
      <c r="F17" s="29"/>
      <c r="G17" s="30"/>
      <c r="H17" s="30"/>
      <c r="I17" s="32"/>
      <c r="J17" s="62"/>
      <c r="K17" s="62"/>
      <c r="L17" s="29"/>
      <c r="M17" s="30"/>
      <c r="N17" s="30"/>
      <c r="O17" s="32"/>
      <c r="P17" s="62"/>
      <c r="Q17" s="62"/>
      <c r="R17" s="29"/>
      <c r="S17" s="30"/>
      <c r="T17" s="30"/>
      <c r="U17" s="32"/>
      <c r="V17" s="62"/>
      <c r="W17" s="62"/>
      <c r="X17" s="29"/>
      <c r="Y17" s="29"/>
    </row>
    <row r="18" spans="1:26" x14ac:dyDescent="0.3">
      <c r="A18" s="30"/>
      <c r="B18" s="30"/>
      <c r="C18" s="32"/>
      <c r="D18" s="62"/>
      <c r="E18" s="62"/>
      <c r="F18" s="29"/>
      <c r="G18" s="30"/>
      <c r="H18" s="30"/>
      <c r="I18" s="32"/>
      <c r="J18" s="62"/>
      <c r="K18" s="62"/>
      <c r="L18" s="29"/>
      <c r="M18" s="30"/>
      <c r="N18" s="30"/>
      <c r="O18" s="32"/>
      <c r="P18" s="62"/>
      <c r="Q18" s="62"/>
      <c r="R18" s="29"/>
      <c r="S18" s="30"/>
      <c r="T18" s="30"/>
      <c r="U18" s="32"/>
      <c r="V18" s="62"/>
      <c r="W18" s="62"/>
      <c r="X18" s="29"/>
      <c r="Y18" s="29"/>
    </row>
    <row r="19" spans="1:26" ht="15" thickBot="1" x14ac:dyDescent="0.35">
      <c r="A19" s="33"/>
      <c r="B19" s="33"/>
      <c r="C19" s="34"/>
      <c r="D19" s="70"/>
      <c r="E19" s="70"/>
      <c r="F19" s="29"/>
      <c r="G19" s="33"/>
      <c r="H19" s="33"/>
      <c r="I19" s="34"/>
      <c r="J19" s="70"/>
      <c r="K19" s="70"/>
      <c r="L19" s="29"/>
      <c r="M19" s="33"/>
      <c r="N19" s="33"/>
      <c r="O19" s="34"/>
      <c r="P19" s="70"/>
      <c r="Q19" s="70"/>
      <c r="R19" s="29"/>
      <c r="S19" s="33"/>
      <c r="T19" s="33"/>
      <c r="U19" s="34"/>
      <c r="V19" s="70"/>
      <c r="W19" s="70"/>
      <c r="X19" s="29"/>
      <c r="Y19" s="29"/>
    </row>
    <row r="20" spans="1:26" ht="15" thickBot="1" x14ac:dyDescent="0.35">
      <c r="A20" s="26" t="s">
        <v>58</v>
      </c>
      <c r="B20" s="35">
        <f>SUM(B15:B19)</f>
        <v>60920</v>
      </c>
      <c r="C20" s="34" t="s">
        <v>59</v>
      </c>
      <c r="D20" s="67">
        <f>SUM(D15:E19)</f>
        <v>103565</v>
      </c>
      <c r="E20" s="67"/>
      <c r="F20" s="29"/>
      <c r="G20" s="26" t="s">
        <v>58</v>
      </c>
      <c r="H20" s="35">
        <f>SUM(H15:H19)</f>
        <v>0</v>
      </c>
      <c r="I20" s="34" t="s">
        <v>59</v>
      </c>
      <c r="J20" s="66">
        <f>SUM(J15:K19)</f>
        <v>0</v>
      </c>
      <c r="K20" s="65"/>
      <c r="L20" s="29"/>
      <c r="M20" s="26" t="s">
        <v>58</v>
      </c>
      <c r="N20" s="35">
        <f>SUM(N15:N19)</f>
        <v>0</v>
      </c>
      <c r="O20" s="34" t="s">
        <v>59</v>
      </c>
      <c r="P20" s="67">
        <f>SUM(P15:Q19)</f>
        <v>0</v>
      </c>
      <c r="Q20" s="67"/>
      <c r="R20" s="29"/>
      <c r="S20" s="26" t="s">
        <v>58</v>
      </c>
      <c r="T20" s="35">
        <f>SUM(T15:T19)</f>
        <v>0</v>
      </c>
      <c r="U20" s="34" t="s">
        <v>59</v>
      </c>
      <c r="V20" s="67">
        <f>SUM(V15:W19)</f>
        <v>0</v>
      </c>
      <c r="W20" s="67"/>
      <c r="X20" s="29"/>
      <c r="Y20" s="29"/>
    </row>
    <row r="21" spans="1:26" x14ac:dyDescent="0.3">
      <c r="A21" s="29" t="s">
        <v>60</v>
      </c>
      <c r="B21" s="38">
        <f>B14+B20-D20</f>
        <v>13255</v>
      </c>
      <c r="C21" s="37"/>
      <c r="D21" s="68"/>
      <c r="E21" s="68"/>
      <c r="F21" s="29"/>
      <c r="G21" s="29" t="s">
        <v>60</v>
      </c>
      <c r="H21" s="38">
        <f>H14+H20-J20</f>
        <v>51000</v>
      </c>
      <c r="I21" s="37"/>
      <c r="J21" s="68"/>
      <c r="K21" s="68"/>
      <c r="L21" s="29"/>
      <c r="M21" s="29"/>
      <c r="N21" s="29"/>
      <c r="O21" s="37" t="s">
        <v>60</v>
      </c>
      <c r="P21" s="69">
        <f>P14+P20-N20</f>
        <v>35200</v>
      </c>
      <c r="Q21" s="68"/>
      <c r="R21" s="29"/>
      <c r="S21" s="29"/>
      <c r="T21" s="29"/>
      <c r="U21" s="37" t="s">
        <v>60</v>
      </c>
      <c r="V21" s="69">
        <f>V14+V20-T20</f>
        <v>160800</v>
      </c>
      <c r="W21" s="68"/>
      <c r="X21" s="29"/>
      <c r="Y21" s="28"/>
    </row>
    <row r="22" spans="1:26" x14ac:dyDescent="0.3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spans="1:26" ht="15" thickBot="1" x14ac:dyDescent="0.35">
      <c r="A23" s="26" t="s">
        <v>55</v>
      </c>
      <c r="B23" s="57" t="s">
        <v>1</v>
      </c>
      <c r="C23" s="57"/>
      <c r="D23" s="57"/>
      <c r="E23" s="27" t="s">
        <v>56</v>
      </c>
      <c r="F23" s="28"/>
      <c r="G23" s="26" t="s">
        <v>55</v>
      </c>
      <c r="H23" s="57" t="s">
        <v>7</v>
      </c>
      <c r="I23" s="57"/>
      <c r="J23" s="57"/>
      <c r="K23" s="27" t="s">
        <v>56</v>
      </c>
      <c r="L23" s="29"/>
      <c r="M23" s="26" t="s">
        <v>55</v>
      </c>
      <c r="N23" s="57" t="s">
        <v>11</v>
      </c>
      <c r="O23" s="57"/>
      <c r="P23" s="57"/>
      <c r="Q23" s="27" t="s">
        <v>56</v>
      </c>
      <c r="R23" s="29"/>
      <c r="S23" s="26" t="s">
        <v>55</v>
      </c>
      <c r="T23" s="57"/>
      <c r="U23" s="57"/>
      <c r="V23" s="57"/>
      <c r="W23" s="27" t="s">
        <v>56</v>
      </c>
      <c r="X23" s="29"/>
      <c r="Y23" s="29"/>
    </row>
    <row r="24" spans="1:26" x14ac:dyDescent="0.3">
      <c r="A24" s="30" t="s">
        <v>57</v>
      </c>
      <c r="B24" s="31">
        <f>Tekst!B3</f>
        <v>60100</v>
      </c>
      <c r="C24" s="32"/>
      <c r="D24" s="59"/>
      <c r="E24" s="59"/>
      <c r="F24" s="29"/>
      <c r="G24" s="30" t="s">
        <v>57</v>
      </c>
      <c r="H24" s="31">
        <f>Tekst!B9</f>
        <v>299870</v>
      </c>
      <c r="I24" s="32"/>
      <c r="J24" s="59"/>
      <c r="K24" s="59"/>
      <c r="L24" s="29"/>
      <c r="M24" s="30"/>
      <c r="N24" s="30"/>
      <c r="O24" s="32" t="s">
        <v>57</v>
      </c>
      <c r="P24" s="60">
        <f>Tekst!B13</f>
        <v>58560</v>
      </c>
      <c r="Q24" s="61"/>
      <c r="R24" s="29"/>
      <c r="S24" s="30"/>
      <c r="T24" s="30"/>
      <c r="U24" s="32"/>
      <c r="V24" s="59"/>
      <c r="W24" s="59"/>
      <c r="X24" s="29"/>
      <c r="Y24" s="29"/>
    </row>
    <row r="25" spans="1:26" x14ac:dyDescent="0.3">
      <c r="A25" s="30"/>
      <c r="B25" s="30"/>
      <c r="C25" s="32" t="s">
        <v>26</v>
      </c>
      <c r="D25" s="63">
        <f>Päevaraamat!F13</f>
        <v>48370</v>
      </c>
      <c r="E25" s="64"/>
      <c r="F25" s="29"/>
      <c r="G25" s="30" t="s">
        <v>32</v>
      </c>
      <c r="H25" s="31">
        <f>Päevaraamat!E18</f>
        <v>24600</v>
      </c>
      <c r="I25" s="32"/>
      <c r="J25" s="62"/>
      <c r="K25" s="62"/>
      <c r="L25" s="29"/>
      <c r="M25" s="30" t="s">
        <v>22</v>
      </c>
      <c r="N25" s="31">
        <f>Päevaraamat!E9</f>
        <v>13920</v>
      </c>
      <c r="O25" s="32"/>
      <c r="P25" s="62"/>
      <c r="Q25" s="62"/>
      <c r="R25" s="29"/>
      <c r="S25" s="30"/>
      <c r="T25" s="30"/>
      <c r="U25" s="32"/>
      <c r="V25" s="62"/>
      <c r="W25" s="62"/>
      <c r="X25" s="29"/>
      <c r="Y25" s="29"/>
    </row>
    <row r="26" spans="1:26" x14ac:dyDescent="0.3">
      <c r="A26" s="30"/>
      <c r="B26" s="30"/>
      <c r="C26" s="32"/>
      <c r="D26" s="62"/>
      <c r="E26" s="62"/>
      <c r="F26" s="29"/>
      <c r="G26" s="30"/>
      <c r="H26" s="30"/>
      <c r="I26" s="32"/>
      <c r="J26" s="62"/>
      <c r="K26" s="62"/>
      <c r="L26" s="29"/>
      <c r="M26" s="30" t="s">
        <v>28</v>
      </c>
      <c r="N26" s="31">
        <f>Päevaraamat!E15</f>
        <v>44640</v>
      </c>
      <c r="O26" s="32"/>
      <c r="P26" s="62"/>
      <c r="Q26" s="62"/>
      <c r="R26" s="29"/>
      <c r="S26" s="30"/>
      <c r="T26" s="30"/>
      <c r="U26" s="32"/>
      <c r="V26" s="62"/>
      <c r="W26" s="62"/>
      <c r="X26" s="29"/>
      <c r="Y26" s="29"/>
    </row>
    <row r="27" spans="1:26" x14ac:dyDescent="0.3">
      <c r="A27" s="30"/>
      <c r="B27" s="30"/>
      <c r="C27" s="32"/>
      <c r="D27" s="62"/>
      <c r="E27" s="62"/>
      <c r="F27" s="29"/>
      <c r="G27" s="30"/>
      <c r="H27" s="30"/>
      <c r="I27" s="32"/>
      <c r="J27" s="62"/>
      <c r="K27" s="62"/>
      <c r="L27" s="29"/>
      <c r="M27" s="30"/>
      <c r="N27" s="30"/>
      <c r="O27" s="32"/>
      <c r="P27" s="62"/>
      <c r="Q27" s="62"/>
      <c r="R27" s="29"/>
      <c r="S27" s="30"/>
      <c r="T27" s="30"/>
      <c r="U27" s="32"/>
      <c r="V27" s="62"/>
      <c r="W27" s="62"/>
      <c r="X27" s="29"/>
      <c r="Y27" s="29"/>
    </row>
    <row r="28" spans="1:26" x14ac:dyDescent="0.3">
      <c r="A28" s="30"/>
      <c r="B28" s="30"/>
      <c r="C28" s="32"/>
      <c r="D28" s="62"/>
      <c r="E28" s="62"/>
      <c r="F28" s="29"/>
      <c r="G28" s="30"/>
      <c r="H28" s="30"/>
      <c r="I28" s="32"/>
      <c r="J28" s="62"/>
      <c r="K28" s="62"/>
      <c r="L28" s="29"/>
      <c r="M28" s="30"/>
      <c r="N28" s="30"/>
      <c r="O28" s="32"/>
      <c r="P28" s="62"/>
      <c r="Q28" s="62"/>
      <c r="R28" s="29"/>
      <c r="S28" s="30"/>
      <c r="T28" s="30"/>
      <c r="U28" s="32"/>
      <c r="V28" s="62"/>
      <c r="W28" s="62"/>
      <c r="X28" s="29"/>
      <c r="Y28" s="29"/>
      <c r="Z28" s="29"/>
    </row>
    <row r="29" spans="1:26" ht="15" thickBot="1" x14ac:dyDescent="0.35">
      <c r="A29" s="33"/>
      <c r="B29" s="33"/>
      <c r="C29" s="34"/>
      <c r="D29" s="70"/>
      <c r="E29" s="70"/>
      <c r="F29" s="29"/>
      <c r="G29" s="33"/>
      <c r="H29" s="33"/>
      <c r="I29" s="34"/>
      <c r="J29" s="70"/>
      <c r="K29" s="70"/>
      <c r="L29" s="29"/>
      <c r="M29" s="33"/>
      <c r="N29" s="33"/>
      <c r="O29" s="34"/>
      <c r="P29" s="70"/>
      <c r="Q29" s="70"/>
      <c r="R29" s="29"/>
      <c r="S29" s="33"/>
      <c r="T29" s="33"/>
      <c r="U29" s="34"/>
      <c r="V29" s="70"/>
      <c r="W29" s="70"/>
      <c r="X29" s="29"/>
      <c r="Y29" s="29"/>
      <c r="Z29" s="29"/>
    </row>
    <row r="30" spans="1:26" ht="15" thickBot="1" x14ac:dyDescent="0.35">
      <c r="A30" s="26" t="s">
        <v>58</v>
      </c>
      <c r="B30" s="35">
        <f>SUM(B25:B29)</f>
        <v>0</v>
      </c>
      <c r="C30" s="34" t="s">
        <v>59</v>
      </c>
      <c r="D30" s="67">
        <f>SUM(D25:E29)</f>
        <v>48370</v>
      </c>
      <c r="E30" s="67"/>
      <c r="F30" s="29"/>
      <c r="G30" s="26" t="s">
        <v>58</v>
      </c>
      <c r="H30" s="35">
        <f>SUM(H25:H29)</f>
        <v>24600</v>
      </c>
      <c r="I30" s="34" t="s">
        <v>59</v>
      </c>
      <c r="J30" s="67">
        <v>0</v>
      </c>
      <c r="K30" s="67"/>
      <c r="L30" s="29"/>
      <c r="M30" s="26" t="s">
        <v>58</v>
      </c>
      <c r="N30" s="35">
        <f>SUM(N25:N29)</f>
        <v>58560</v>
      </c>
      <c r="O30" s="34" t="s">
        <v>59</v>
      </c>
      <c r="P30" s="67">
        <f>SUM(P25:Q29)</f>
        <v>0</v>
      </c>
      <c r="Q30" s="67"/>
      <c r="R30" s="29"/>
      <c r="S30" s="26"/>
      <c r="T30" s="35"/>
      <c r="U30" s="34"/>
      <c r="V30" s="67"/>
      <c r="W30" s="67"/>
      <c r="X30" s="29"/>
      <c r="Y30" s="28"/>
      <c r="Z30" s="29"/>
    </row>
    <row r="31" spans="1:26" x14ac:dyDescent="0.3">
      <c r="A31" s="29" t="s">
        <v>60</v>
      </c>
      <c r="B31" s="38">
        <f>B24+B30-D30</f>
        <v>11730</v>
      </c>
      <c r="C31" s="37"/>
      <c r="D31" s="68"/>
      <c r="E31" s="68"/>
      <c r="F31" s="29"/>
      <c r="G31" s="29" t="s">
        <v>60</v>
      </c>
      <c r="H31" s="39">
        <f>H24+H30-J30</f>
        <v>324470</v>
      </c>
      <c r="I31" s="37"/>
      <c r="J31" s="68"/>
      <c r="K31" s="68"/>
      <c r="L31" s="29"/>
      <c r="M31" s="29"/>
      <c r="N31" s="29"/>
      <c r="O31" s="37" t="s">
        <v>60</v>
      </c>
      <c r="P31" s="69">
        <f>P24+P30-N30</f>
        <v>0</v>
      </c>
      <c r="Q31" s="68"/>
      <c r="R31" s="29"/>
      <c r="S31" s="29"/>
      <c r="T31" s="29"/>
      <c r="U31" s="37"/>
      <c r="V31" s="69"/>
      <c r="W31" s="68"/>
      <c r="X31" s="29"/>
      <c r="Y31" s="29"/>
      <c r="Z31" s="29"/>
    </row>
    <row r="32" spans="1:26" x14ac:dyDescent="0.3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5" thickBot="1" x14ac:dyDescent="0.35">
      <c r="A33" s="26" t="s">
        <v>55</v>
      </c>
      <c r="B33" s="57" t="s">
        <v>8</v>
      </c>
      <c r="C33" s="57"/>
      <c r="D33" s="57"/>
      <c r="E33" s="27" t="s">
        <v>56</v>
      </c>
      <c r="F33" s="28"/>
      <c r="G33" s="26" t="s">
        <v>55</v>
      </c>
      <c r="H33" s="57" t="s">
        <v>3</v>
      </c>
      <c r="I33" s="57"/>
      <c r="J33" s="57"/>
      <c r="K33" s="27" t="s">
        <v>56</v>
      </c>
      <c r="L33" s="29"/>
      <c r="M33" s="26" t="s">
        <v>55</v>
      </c>
      <c r="N33" s="57" t="s">
        <v>12</v>
      </c>
      <c r="O33" s="57"/>
      <c r="P33" s="57"/>
      <c r="Q33" s="27" t="s">
        <v>56</v>
      </c>
      <c r="R33" s="29"/>
      <c r="S33" s="26" t="s">
        <v>55</v>
      </c>
      <c r="T33" s="57" t="s">
        <v>61</v>
      </c>
      <c r="U33" s="57"/>
      <c r="V33" s="57"/>
      <c r="W33" s="27" t="s">
        <v>56</v>
      </c>
      <c r="X33" s="29"/>
      <c r="Y33" s="29"/>
      <c r="Z33" s="29"/>
    </row>
    <row r="34" spans="1:26" x14ac:dyDescent="0.3">
      <c r="A34" s="30" t="s">
        <v>57</v>
      </c>
      <c r="B34" s="31">
        <f>Tekst!B10</f>
        <v>2550</v>
      </c>
      <c r="C34" s="32"/>
      <c r="D34" s="59"/>
      <c r="E34" s="59"/>
      <c r="F34" s="29"/>
      <c r="G34" s="30" t="s">
        <v>57</v>
      </c>
      <c r="H34" s="31">
        <f>Tekst!B5</f>
        <v>420000</v>
      </c>
      <c r="I34" s="32"/>
      <c r="J34" s="59"/>
      <c r="K34" s="59"/>
      <c r="L34" s="29"/>
      <c r="M34" s="30"/>
      <c r="N34" s="30"/>
      <c r="O34" s="32" t="s">
        <v>57</v>
      </c>
      <c r="P34" s="60">
        <f>Tekst!B14</f>
        <v>19325</v>
      </c>
      <c r="Q34" s="61"/>
      <c r="R34" s="29"/>
      <c r="S34" s="30"/>
      <c r="T34" s="30"/>
      <c r="U34" s="32" t="s">
        <v>57</v>
      </c>
      <c r="V34" s="61">
        <v>0</v>
      </c>
      <c r="W34" s="61"/>
      <c r="X34" s="29"/>
      <c r="Y34" s="29"/>
      <c r="Z34" s="29"/>
    </row>
    <row r="35" spans="1:26" x14ac:dyDescent="0.3">
      <c r="A35" s="30"/>
      <c r="B35" s="30"/>
      <c r="C35" s="32" t="s">
        <v>24</v>
      </c>
      <c r="D35" s="63">
        <f>Päevaraamat!F10</f>
        <v>2550</v>
      </c>
      <c r="E35" s="64"/>
      <c r="F35" s="29"/>
      <c r="G35" s="30" t="s">
        <v>20</v>
      </c>
      <c r="H35" s="31">
        <f>Päevaraamat!E6</f>
        <v>121000</v>
      </c>
      <c r="I35" s="32"/>
      <c r="J35" s="62"/>
      <c r="K35" s="62"/>
      <c r="L35" s="29"/>
      <c r="M35" s="30" t="s">
        <v>34</v>
      </c>
      <c r="N35" s="31">
        <f>Päevaraamat!E21</f>
        <v>19325</v>
      </c>
      <c r="O35" s="32"/>
      <c r="P35" s="62"/>
      <c r="Q35" s="62"/>
      <c r="R35" s="29"/>
      <c r="S35" s="30"/>
      <c r="T35" s="30"/>
      <c r="U35" s="32" t="s">
        <v>22</v>
      </c>
      <c r="V35" s="63">
        <f>Päevaraamat!F8</f>
        <v>13920</v>
      </c>
      <c r="W35" s="64"/>
      <c r="X35" s="29"/>
      <c r="Y35" s="29"/>
      <c r="Z35" s="29"/>
    </row>
    <row r="36" spans="1:26" x14ac:dyDescent="0.3">
      <c r="A36" s="30"/>
      <c r="B36" s="30"/>
      <c r="C36" s="32"/>
      <c r="D36" s="62"/>
      <c r="E36" s="62"/>
      <c r="F36" s="29"/>
      <c r="G36" s="30"/>
      <c r="H36" s="30"/>
      <c r="I36" s="32"/>
      <c r="J36" s="62"/>
      <c r="K36" s="62"/>
      <c r="L36" s="29"/>
      <c r="M36" s="30"/>
      <c r="N36" s="30"/>
      <c r="O36" s="32"/>
      <c r="P36" s="62"/>
      <c r="Q36" s="62"/>
      <c r="R36" s="29"/>
      <c r="S36" s="30"/>
      <c r="T36" s="30"/>
      <c r="U36" s="32"/>
      <c r="V36" s="62"/>
      <c r="W36" s="62"/>
      <c r="X36" s="29"/>
      <c r="Y36" s="29"/>
      <c r="Z36" s="29"/>
    </row>
    <row r="37" spans="1:26" x14ac:dyDescent="0.3">
      <c r="A37" s="30"/>
      <c r="B37" s="30"/>
      <c r="C37" s="32"/>
      <c r="D37" s="62"/>
      <c r="E37" s="62"/>
      <c r="F37" s="29"/>
      <c r="G37" s="30"/>
      <c r="H37" s="30"/>
      <c r="I37" s="32"/>
      <c r="J37" s="62"/>
      <c r="K37" s="62"/>
      <c r="L37" s="29"/>
      <c r="M37" s="30"/>
      <c r="N37" s="30"/>
      <c r="O37" s="32"/>
      <c r="P37" s="62"/>
      <c r="Q37" s="62"/>
      <c r="R37" s="29"/>
      <c r="S37" s="30"/>
      <c r="T37" s="30"/>
      <c r="U37" s="32"/>
      <c r="V37" s="62"/>
      <c r="W37" s="62"/>
      <c r="X37" s="29"/>
      <c r="Y37" s="29"/>
      <c r="Z37" s="29"/>
    </row>
    <row r="38" spans="1:26" x14ac:dyDescent="0.3">
      <c r="A38" s="30"/>
      <c r="B38" s="30"/>
      <c r="C38" s="32"/>
      <c r="D38" s="62"/>
      <c r="E38" s="62"/>
      <c r="F38" s="29"/>
      <c r="G38" s="30"/>
      <c r="H38" s="30"/>
      <c r="I38" s="32"/>
      <c r="J38" s="62"/>
      <c r="K38" s="62"/>
      <c r="L38" s="29"/>
      <c r="M38" s="30"/>
      <c r="N38" s="30"/>
      <c r="O38" s="32"/>
      <c r="P38" s="62"/>
      <c r="Q38" s="62"/>
      <c r="R38" s="29"/>
      <c r="S38" s="30"/>
      <c r="T38" s="30"/>
      <c r="U38" s="32"/>
      <c r="V38" s="62"/>
      <c r="W38" s="62"/>
      <c r="X38" s="29"/>
      <c r="Y38" s="29"/>
      <c r="Z38" s="29"/>
    </row>
    <row r="39" spans="1:26" ht="15" thickBot="1" x14ac:dyDescent="0.35">
      <c r="A39" s="33"/>
      <c r="B39" s="33"/>
      <c r="C39" s="34"/>
      <c r="D39" s="70"/>
      <c r="E39" s="70"/>
      <c r="F39" s="29"/>
      <c r="G39" s="33"/>
      <c r="H39" s="33"/>
      <c r="I39" s="34"/>
      <c r="J39" s="70"/>
      <c r="K39" s="70"/>
      <c r="L39" s="29"/>
      <c r="M39" s="33"/>
      <c r="N39" s="33"/>
      <c r="O39" s="34"/>
      <c r="P39" s="70"/>
      <c r="Q39" s="70"/>
      <c r="R39" s="29"/>
      <c r="S39" s="33"/>
      <c r="T39" s="33"/>
      <c r="U39" s="34"/>
      <c r="V39" s="70"/>
      <c r="W39" s="70"/>
      <c r="X39" s="29"/>
      <c r="Y39" s="29"/>
      <c r="Z39" s="29"/>
    </row>
    <row r="40" spans="1:26" ht="15" thickBot="1" x14ac:dyDescent="0.35">
      <c r="A40" s="26" t="s">
        <v>58</v>
      </c>
      <c r="B40" s="35">
        <f>SUM(B35:B39)</f>
        <v>0</v>
      </c>
      <c r="C40" s="34" t="s">
        <v>59</v>
      </c>
      <c r="D40" s="67">
        <f>SUM(D35:E39)</f>
        <v>2550</v>
      </c>
      <c r="E40" s="67"/>
      <c r="F40" s="29"/>
      <c r="G40" s="26" t="s">
        <v>58</v>
      </c>
      <c r="H40" s="35">
        <f>SUM(H35:H39)</f>
        <v>121000</v>
      </c>
      <c r="I40" s="34" t="s">
        <v>59</v>
      </c>
      <c r="J40" s="67">
        <v>0</v>
      </c>
      <c r="K40" s="67"/>
      <c r="L40" s="29"/>
      <c r="M40" s="26" t="s">
        <v>58</v>
      </c>
      <c r="N40" s="35">
        <f>SUM(N35:N39)</f>
        <v>19325</v>
      </c>
      <c r="O40" s="34" t="s">
        <v>59</v>
      </c>
      <c r="P40" s="67">
        <f>SUM(P35:Q39)</f>
        <v>0</v>
      </c>
      <c r="Q40" s="67"/>
      <c r="R40" s="29"/>
      <c r="S40" s="26" t="s">
        <v>58</v>
      </c>
      <c r="T40" s="35">
        <f>SUM(T35:T39)</f>
        <v>0</v>
      </c>
      <c r="U40" s="34" t="s">
        <v>59</v>
      </c>
      <c r="V40" s="67">
        <f>SUM(V35:W39)</f>
        <v>13920</v>
      </c>
      <c r="W40" s="67"/>
      <c r="X40" s="29"/>
      <c r="Y40" s="29"/>
      <c r="Z40" s="29"/>
    </row>
    <row r="41" spans="1:26" x14ac:dyDescent="0.3">
      <c r="A41" s="38" t="s">
        <v>60</v>
      </c>
      <c r="B41" s="38">
        <f>B34+B40-D40</f>
        <v>0</v>
      </c>
      <c r="C41" s="37"/>
      <c r="D41" s="68"/>
      <c r="E41" s="68"/>
      <c r="F41" s="29"/>
      <c r="G41" s="38" t="s">
        <v>60</v>
      </c>
      <c r="H41" s="38">
        <f>H34+H40-J40</f>
        <v>541000</v>
      </c>
      <c r="I41" s="37"/>
      <c r="J41" s="68"/>
      <c r="K41" s="68"/>
      <c r="L41" s="29"/>
      <c r="M41" s="29"/>
      <c r="N41" s="29"/>
      <c r="O41" s="37" t="s">
        <v>60</v>
      </c>
      <c r="P41" s="69">
        <f>P34+P40-N40</f>
        <v>0</v>
      </c>
      <c r="Q41" s="68"/>
      <c r="R41" s="29"/>
      <c r="S41" s="29"/>
      <c r="T41" s="29"/>
      <c r="U41" s="37" t="s">
        <v>60</v>
      </c>
      <c r="V41" s="69">
        <f>V34+V40-T40</f>
        <v>13920</v>
      </c>
      <c r="W41" s="68"/>
    </row>
  </sheetData>
  <mergeCells count="144">
    <mergeCell ref="D41:E41"/>
    <mergeCell ref="J41:K41"/>
    <mergeCell ref="P41:Q41"/>
    <mergeCell ref="V41:W41"/>
    <mergeCell ref="D39:E39"/>
    <mergeCell ref="J39:K39"/>
    <mergeCell ref="P39:Q39"/>
    <mergeCell ref="V39:W39"/>
    <mergeCell ref="D40:E40"/>
    <mergeCell ref="J40:K40"/>
    <mergeCell ref="P40:Q40"/>
    <mergeCell ref="V40:W40"/>
    <mergeCell ref="D37:E37"/>
    <mergeCell ref="J37:K37"/>
    <mergeCell ref="P37:Q37"/>
    <mergeCell ref="V37:W37"/>
    <mergeCell ref="D38:E38"/>
    <mergeCell ref="J38:K38"/>
    <mergeCell ref="P38:Q38"/>
    <mergeCell ref="V38:W38"/>
    <mergeCell ref="D35:E35"/>
    <mergeCell ref="J35:K35"/>
    <mergeCell ref="P35:Q35"/>
    <mergeCell ref="V35:W35"/>
    <mergeCell ref="D36:E36"/>
    <mergeCell ref="J36:K36"/>
    <mergeCell ref="P36:Q36"/>
    <mergeCell ref="V36:W36"/>
    <mergeCell ref="B33:D33"/>
    <mergeCell ref="H33:J33"/>
    <mergeCell ref="N33:P33"/>
    <mergeCell ref="T33:V33"/>
    <mergeCell ref="D34:E34"/>
    <mergeCell ref="J34:K34"/>
    <mergeCell ref="P34:Q34"/>
    <mergeCell ref="V34:W34"/>
    <mergeCell ref="D30:E30"/>
    <mergeCell ref="J30:K30"/>
    <mergeCell ref="P30:Q30"/>
    <mergeCell ref="V30:W30"/>
    <mergeCell ref="D31:E31"/>
    <mergeCell ref="J31:K31"/>
    <mergeCell ref="P31:Q31"/>
    <mergeCell ref="V31:W31"/>
    <mergeCell ref="D28:E28"/>
    <mergeCell ref="J28:K28"/>
    <mergeCell ref="P28:Q28"/>
    <mergeCell ref="V28:W28"/>
    <mergeCell ref="D29:E29"/>
    <mergeCell ref="J29:K29"/>
    <mergeCell ref="P29:Q29"/>
    <mergeCell ref="V29:W29"/>
    <mergeCell ref="D26:E26"/>
    <mergeCell ref="J26:K26"/>
    <mergeCell ref="P26:Q26"/>
    <mergeCell ref="V26:W26"/>
    <mergeCell ref="D27:E27"/>
    <mergeCell ref="J27:K27"/>
    <mergeCell ref="P27:Q27"/>
    <mergeCell ref="V27:W27"/>
    <mergeCell ref="D24:E24"/>
    <mergeCell ref="J24:K24"/>
    <mergeCell ref="P24:Q24"/>
    <mergeCell ref="V24:W24"/>
    <mergeCell ref="D25:E25"/>
    <mergeCell ref="J25:K25"/>
    <mergeCell ref="P25:Q25"/>
    <mergeCell ref="V25:W25"/>
    <mergeCell ref="D21:E21"/>
    <mergeCell ref="J21:K21"/>
    <mergeCell ref="P21:Q21"/>
    <mergeCell ref="V21:W21"/>
    <mergeCell ref="B23:D23"/>
    <mergeCell ref="H23:J23"/>
    <mergeCell ref="N23:P23"/>
    <mergeCell ref="T23:V23"/>
    <mergeCell ref="D19:E19"/>
    <mergeCell ref="J19:K19"/>
    <mergeCell ref="P19:Q19"/>
    <mergeCell ref="V19:W19"/>
    <mergeCell ref="D20:E20"/>
    <mergeCell ref="J20:K20"/>
    <mergeCell ref="P20:Q20"/>
    <mergeCell ref="V20:W20"/>
    <mergeCell ref="D17:E17"/>
    <mergeCell ref="J17:K17"/>
    <mergeCell ref="P17:Q17"/>
    <mergeCell ref="V17:W17"/>
    <mergeCell ref="D18:E18"/>
    <mergeCell ref="J18:K18"/>
    <mergeCell ref="P18:Q18"/>
    <mergeCell ref="V18:W18"/>
    <mergeCell ref="D15:E15"/>
    <mergeCell ref="J15:K15"/>
    <mergeCell ref="P15:Q15"/>
    <mergeCell ref="V15:W15"/>
    <mergeCell ref="D16:E16"/>
    <mergeCell ref="J16:K16"/>
    <mergeCell ref="P16:Q16"/>
    <mergeCell ref="V16:W16"/>
    <mergeCell ref="B13:D13"/>
    <mergeCell ref="H13:J13"/>
    <mergeCell ref="N13:P13"/>
    <mergeCell ref="T13:V13"/>
    <mergeCell ref="D14:E14"/>
    <mergeCell ref="J14:K14"/>
    <mergeCell ref="P14:Q14"/>
    <mergeCell ref="V14:W14"/>
    <mergeCell ref="D11:E11"/>
    <mergeCell ref="J11:K11"/>
    <mergeCell ref="P11:Q11"/>
    <mergeCell ref="V11:W11"/>
    <mergeCell ref="D8:E8"/>
    <mergeCell ref="J8:K8"/>
    <mergeCell ref="P8:Q8"/>
    <mergeCell ref="V8:W8"/>
    <mergeCell ref="D9:E9"/>
    <mergeCell ref="J9:K9"/>
    <mergeCell ref="P9:Q9"/>
    <mergeCell ref="V9:W9"/>
    <mergeCell ref="D7:E7"/>
    <mergeCell ref="J7:K7"/>
    <mergeCell ref="P7:Q7"/>
    <mergeCell ref="V7:W7"/>
    <mergeCell ref="D5:E5"/>
    <mergeCell ref="J5:K5"/>
    <mergeCell ref="P5:Q5"/>
    <mergeCell ref="V5:W5"/>
    <mergeCell ref="D10:E10"/>
    <mergeCell ref="J10:K10"/>
    <mergeCell ref="P10:Q10"/>
    <mergeCell ref="V10:W10"/>
    <mergeCell ref="B3:D3"/>
    <mergeCell ref="H3:J3"/>
    <mergeCell ref="N3:P3"/>
    <mergeCell ref="T3:V3"/>
    <mergeCell ref="D4:E4"/>
    <mergeCell ref="J4:K4"/>
    <mergeCell ref="P4:Q4"/>
    <mergeCell ref="V4:W4"/>
    <mergeCell ref="D6:E6"/>
    <mergeCell ref="J6:K6"/>
    <mergeCell ref="P6:Q6"/>
    <mergeCell ref="V6:W6"/>
  </mergeCells>
  <pageMargins left="0.7" right="0.7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22AC-570C-49AF-ADC1-ACFCB7AB6D0B}">
  <dimension ref="A2:I21"/>
  <sheetViews>
    <sheetView zoomScale="60" workbookViewId="0">
      <selection activeCell="O19" sqref="O19"/>
    </sheetView>
  </sheetViews>
  <sheetFormatPr defaultRowHeight="14.4" x14ac:dyDescent="0.3"/>
  <cols>
    <col min="1" max="1" width="7.88671875" bestFit="1" customWidth="1"/>
    <col min="2" max="2" width="10.44140625" bestFit="1" customWidth="1"/>
    <col min="3" max="3" width="29.21875" bestFit="1" customWidth="1"/>
    <col min="4" max="4" width="9.5546875" bestFit="1" customWidth="1"/>
    <col min="5" max="5" width="13.88671875" customWidth="1"/>
    <col min="6" max="6" width="14.21875" customWidth="1"/>
    <col min="7" max="7" width="12.6640625" customWidth="1"/>
    <col min="8" max="8" width="13.21875" customWidth="1"/>
    <col min="9" max="9" width="16" customWidth="1"/>
  </cols>
  <sheetData>
    <row r="2" spans="1:9" ht="21" x14ac:dyDescent="0.4">
      <c r="A2" s="80" t="s">
        <v>62</v>
      </c>
      <c r="B2" s="80"/>
      <c r="C2" s="80"/>
      <c r="D2" s="80"/>
      <c r="E2" s="80"/>
      <c r="F2" s="80"/>
      <c r="G2" s="80"/>
      <c r="H2" s="80"/>
      <c r="I2" s="80"/>
    </row>
    <row r="3" spans="1:9" s="40" customFormat="1" ht="17.399999999999999" x14ac:dyDescent="0.35">
      <c r="A3" s="43"/>
      <c r="B3" s="41"/>
      <c r="C3" s="41"/>
      <c r="D3" s="81" t="s">
        <v>63</v>
      </c>
      <c r="E3" s="81"/>
      <c r="F3" s="81" t="s">
        <v>64</v>
      </c>
      <c r="G3" s="81"/>
      <c r="H3" s="81" t="s">
        <v>65</v>
      </c>
      <c r="I3" s="81"/>
    </row>
    <row r="4" spans="1:9" s="40" customFormat="1" ht="20.100000000000001" customHeight="1" x14ac:dyDescent="0.35">
      <c r="A4" s="43" t="s">
        <v>66</v>
      </c>
      <c r="B4" s="43" t="s">
        <v>67</v>
      </c>
      <c r="C4" s="41" t="s">
        <v>68</v>
      </c>
      <c r="D4" s="82" t="s">
        <v>55</v>
      </c>
      <c r="E4" s="82" t="s">
        <v>56</v>
      </c>
      <c r="F4" s="82" t="s">
        <v>55</v>
      </c>
      <c r="G4" s="82" t="s">
        <v>56</v>
      </c>
      <c r="H4" s="82" t="s">
        <v>55</v>
      </c>
      <c r="I4" s="82" t="s">
        <v>56</v>
      </c>
    </row>
    <row r="5" spans="1:9" s="40" customFormat="1" ht="29.55" customHeight="1" x14ac:dyDescent="0.35">
      <c r="A5" s="41" t="s">
        <v>18</v>
      </c>
      <c r="B5" s="41"/>
      <c r="C5" s="41" t="s">
        <v>5</v>
      </c>
      <c r="D5" s="42">
        <f>'T-kontod'!B4</f>
        <v>4065</v>
      </c>
      <c r="E5" s="41">
        <v>0</v>
      </c>
      <c r="F5" s="41">
        <f>'T-kontod'!B10</f>
        <v>0</v>
      </c>
      <c r="G5" s="41">
        <v>0</v>
      </c>
      <c r="H5" s="42">
        <f>D5+F5-G5</f>
        <v>4065</v>
      </c>
      <c r="I5" s="41">
        <v>0</v>
      </c>
    </row>
    <row r="6" spans="1:9" s="40" customFormat="1" ht="17.399999999999999" x14ac:dyDescent="0.35">
      <c r="A6" s="41" t="s">
        <v>20</v>
      </c>
      <c r="B6" s="41"/>
      <c r="C6" s="41" t="s">
        <v>2</v>
      </c>
      <c r="D6" s="42">
        <f>'T-kontod'!B14</f>
        <v>55900</v>
      </c>
      <c r="E6" s="41">
        <v>0</v>
      </c>
      <c r="F6" s="83">
        <f>'T-kontod'!B20</f>
        <v>60920</v>
      </c>
      <c r="G6" s="42">
        <v>103565</v>
      </c>
      <c r="H6" s="42">
        <f t="shared" ref="H6:H12" si="0">D6+F6-G6</f>
        <v>13255</v>
      </c>
      <c r="I6" s="41">
        <v>0</v>
      </c>
    </row>
    <row r="7" spans="1:9" s="40" customFormat="1" ht="34.799999999999997" x14ac:dyDescent="0.35">
      <c r="A7" s="41" t="s">
        <v>22</v>
      </c>
      <c r="B7" s="41"/>
      <c r="C7" s="43" t="s">
        <v>69</v>
      </c>
      <c r="D7" s="42">
        <f>'T-kontod'!H4</f>
        <v>20000</v>
      </c>
      <c r="E7" s="41">
        <v>0</v>
      </c>
      <c r="F7" s="41">
        <v>0</v>
      </c>
      <c r="G7" s="42">
        <v>10000</v>
      </c>
      <c r="H7" s="42">
        <f t="shared" si="0"/>
        <v>10000</v>
      </c>
      <c r="I7" s="41">
        <v>0</v>
      </c>
    </row>
    <row r="8" spans="1:9" s="40" customFormat="1" ht="17.399999999999999" x14ac:dyDescent="0.35">
      <c r="A8" s="41" t="s">
        <v>24</v>
      </c>
      <c r="B8" s="41"/>
      <c r="C8" s="41" t="s">
        <v>8</v>
      </c>
      <c r="D8" s="42">
        <f>'T-kontod'!B34</f>
        <v>2550</v>
      </c>
      <c r="E8" s="41">
        <v>0</v>
      </c>
      <c r="F8" s="41">
        <v>0</v>
      </c>
      <c r="G8" s="42">
        <v>2550</v>
      </c>
      <c r="H8" s="42">
        <f t="shared" si="0"/>
        <v>0</v>
      </c>
      <c r="I8" s="41">
        <v>0</v>
      </c>
    </row>
    <row r="9" spans="1:9" s="40" customFormat="1" ht="17.399999999999999" x14ac:dyDescent="0.35">
      <c r="A9" s="41" t="s">
        <v>26</v>
      </c>
      <c r="B9" s="41"/>
      <c r="C9" s="41" t="s">
        <v>1</v>
      </c>
      <c r="D9" s="42">
        <f>'T-kontod'!B24</f>
        <v>60100</v>
      </c>
      <c r="E9" s="41">
        <v>0</v>
      </c>
      <c r="F9" s="41">
        <v>0</v>
      </c>
      <c r="G9" s="42">
        <v>48370</v>
      </c>
      <c r="H9" s="42">
        <f t="shared" si="0"/>
        <v>11730</v>
      </c>
      <c r="I9" s="41">
        <v>0</v>
      </c>
    </row>
    <row r="10" spans="1:9" s="40" customFormat="1" ht="17.399999999999999" x14ac:dyDescent="0.35">
      <c r="A10" s="41" t="s">
        <v>28</v>
      </c>
      <c r="B10" s="41"/>
      <c r="C10" s="41" t="s">
        <v>9</v>
      </c>
      <c r="D10" s="42">
        <f>'T-kontod'!H14</f>
        <v>51000</v>
      </c>
      <c r="E10" s="41">
        <v>0</v>
      </c>
      <c r="F10" s="41">
        <v>0</v>
      </c>
      <c r="G10" s="41">
        <v>0</v>
      </c>
      <c r="H10" s="42">
        <f t="shared" si="0"/>
        <v>51000</v>
      </c>
      <c r="I10" s="41">
        <v>0</v>
      </c>
    </row>
    <row r="11" spans="1:9" s="40" customFormat="1" ht="17.399999999999999" x14ac:dyDescent="0.35">
      <c r="A11" s="41" t="s">
        <v>30</v>
      </c>
      <c r="B11" s="41"/>
      <c r="C11" s="41" t="s">
        <v>7</v>
      </c>
      <c r="D11" s="83">
        <f>'T-kontod'!H24</f>
        <v>299870</v>
      </c>
      <c r="E11" s="41">
        <v>0</v>
      </c>
      <c r="F11" s="42">
        <f>'T-kontod'!H30</f>
        <v>24600</v>
      </c>
      <c r="G11" s="41">
        <v>0</v>
      </c>
      <c r="H11" s="42">
        <f t="shared" si="0"/>
        <v>324470</v>
      </c>
      <c r="I11" s="41">
        <v>0</v>
      </c>
    </row>
    <row r="12" spans="1:9" s="40" customFormat="1" ht="17.399999999999999" x14ac:dyDescent="0.35">
      <c r="A12" s="41" t="s">
        <v>32</v>
      </c>
      <c r="B12" s="41"/>
      <c r="C12" s="41" t="s">
        <v>70</v>
      </c>
      <c r="D12" s="42">
        <f>'T-kontod'!H34</f>
        <v>420000</v>
      </c>
      <c r="E12" s="41">
        <v>0</v>
      </c>
      <c r="F12" s="42">
        <f>'T-kontod'!H40</f>
        <v>121000</v>
      </c>
      <c r="G12" s="41">
        <v>0</v>
      </c>
      <c r="H12" s="42">
        <f t="shared" si="0"/>
        <v>541000</v>
      </c>
      <c r="I12" s="41">
        <v>0</v>
      </c>
    </row>
    <row r="13" spans="1:9" s="40" customFormat="1" ht="17.399999999999999" x14ac:dyDescent="0.35">
      <c r="A13" s="41" t="s">
        <v>34</v>
      </c>
      <c r="B13" s="41"/>
      <c r="C13" s="41" t="s">
        <v>13</v>
      </c>
      <c r="D13" s="41">
        <v>0</v>
      </c>
      <c r="E13" s="42">
        <v>39600</v>
      </c>
      <c r="F13" s="42">
        <f>'T-kontod'!N10</f>
        <v>39600</v>
      </c>
      <c r="G13" s="42">
        <v>145600</v>
      </c>
      <c r="H13" s="41">
        <v>0</v>
      </c>
      <c r="I13" s="42">
        <f>E13+G13-F13</f>
        <v>145600</v>
      </c>
    </row>
    <row r="14" spans="1:9" s="40" customFormat="1" ht="17.399999999999999" x14ac:dyDescent="0.35">
      <c r="A14" s="41" t="s">
        <v>71</v>
      </c>
      <c r="B14" s="41"/>
      <c r="C14" s="41" t="s">
        <v>6</v>
      </c>
      <c r="D14" s="41">
        <v>0</v>
      </c>
      <c r="E14" s="42">
        <v>35200</v>
      </c>
      <c r="F14" s="41">
        <v>0</v>
      </c>
      <c r="G14" s="41">
        <v>0</v>
      </c>
      <c r="H14" s="41">
        <v>0</v>
      </c>
      <c r="I14" s="42">
        <f t="shared" ref="I14:I19" si="1">E14+G14-F14</f>
        <v>35200</v>
      </c>
    </row>
    <row r="15" spans="1:9" s="40" customFormat="1" ht="17.399999999999999" x14ac:dyDescent="0.35">
      <c r="A15" s="41" t="s">
        <v>72</v>
      </c>
      <c r="B15" s="41"/>
      <c r="C15" s="41" t="s">
        <v>11</v>
      </c>
      <c r="D15" s="41">
        <v>0</v>
      </c>
      <c r="E15" s="42">
        <v>58560</v>
      </c>
      <c r="F15" s="42">
        <f>'T-kontod'!N30</f>
        <v>58560</v>
      </c>
      <c r="G15" s="41">
        <v>0</v>
      </c>
      <c r="H15" s="41">
        <v>0</v>
      </c>
      <c r="I15" s="42">
        <f t="shared" si="1"/>
        <v>0</v>
      </c>
    </row>
    <row r="16" spans="1:9" s="40" customFormat="1" ht="17.399999999999999" x14ac:dyDescent="0.35">
      <c r="A16" s="41" t="s">
        <v>73</v>
      </c>
      <c r="B16" s="41"/>
      <c r="C16" s="41" t="s">
        <v>12</v>
      </c>
      <c r="D16" s="41">
        <v>0</v>
      </c>
      <c r="E16" s="42">
        <v>19325</v>
      </c>
      <c r="F16" s="42">
        <f>'T-kontod'!N40</f>
        <v>19325</v>
      </c>
      <c r="G16" s="41">
        <v>0</v>
      </c>
      <c r="H16" s="41">
        <v>0</v>
      </c>
      <c r="I16" s="42">
        <f t="shared" si="1"/>
        <v>0</v>
      </c>
    </row>
    <row r="17" spans="1:9" s="40" customFormat="1" ht="17.399999999999999" x14ac:dyDescent="0.35">
      <c r="A17" s="41" t="s">
        <v>74</v>
      </c>
      <c r="B17" s="41"/>
      <c r="C17" s="41" t="s">
        <v>61</v>
      </c>
      <c r="D17" s="41">
        <v>0</v>
      </c>
      <c r="E17" s="41">
        <v>0</v>
      </c>
      <c r="F17" s="41">
        <v>0</v>
      </c>
      <c r="G17" s="42">
        <v>13920</v>
      </c>
      <c r="H17" s="41">
        <v>0</v>
      </c>
      <c r="I17" s="42">
        <f t="shared" si="1"/>
        <v>13920</v>
      </c>
    </row>
    <row r="18" spans="1:9" s="40" customFormat="1" ht="17.399999999999999" x14ac:dyDescent="0.35">
      <c r="A18" s="41" t="s">
        <v>75</v>
      </c>
      <c r="B18" s="41"/>
      <c r="C18" s="41" t="s">
        <v>0</v>
      </c>
      <c r="D18" s="41">
        <v>0</v>
      </c>
      <c r="E18" s="42">
        <v>600000</v>
      </c>
      <c r="F18" s="41">
        <v>0</v>
      </c>
      <c r="G18" s="41">
        <v>0</v>
      </c>
      <c r="H18" s="41">
        <v>0</v>
      </c>
      <c r="I18" s="42">
        <f t="shared" si="1"/>
        <v>600000</v>
      </c>
    </row>
    <row r="19" spans="1:9" s="40" customFormat="1" ht="34.799999999999997" x14ac:dyDescent="0.35">
      <c r="A19" s="41" t="s">
        <v>76</v>
      </c>
      <c r="B19" s="41"/>
      <c r="C19" s="43" t="s">
        <v>4</v>
      </c>
      <c r="D19" s="41">
        <v>0</v>
      </c>
      <c r="E19" s="42">
        <v>160800</v>
      </c>
      <c r="F19" s="41">
        <v>0</v>
      </c>
      <c r="G19" s="41">
        <v>0</v>
      </c>
      <c r="H19" s="41">
        <v>0</v>
      </c>
      <c r="I19" s="42">
        <f t="shared" si="1"/>
        <v>160800</v>
      </c>
    </row>
    <row r="20" spans="1:9" s="40" customFormat="1" ht="17.399999999999999" x14ac:dyDescent="0.35">
      <c r="A20" s="41"/>
      <c r="B20" s="41"/>
      <c r="C20" s="84" t="s">
        <v>14</v>
      </c>
      <c r="D20" s="85">
        <f>SUM(D5:D19)</f>
        <v>913485</v>
      </c>
      <c r="E20" s="85">
        <f>SUM(E5:E19)</f>
        <v>913485</v>
      </c>
      <c r="F20" s="85">
        <f>SUM(F5:F19)</f>
        <v>324005</v>
      </c>
      <c r="G20" s="85">
        <f>SUM(G5:G19)</f>
        <v>324005</v>
      </c>
      <c r="H20" s="85">
        <f>SUM(H5:H19)</f>
        <v>955520</v>
      </c>
      <c r="I20" s="85">
        <f>SUM(I5:I19)</f>
        <v>955520</v>
      </c>
    </row>
    <row r="21" spans="1:9" s="40" customFormat="1" ht="17.399999999999999" x14ac:dyDescent="0.35"/>
  </sheetData>
  <mergeCells count="4">
    <mergeCell ref="A2:I2"/>
    <mergeCell ref="D3:E3"/>
    <mergeCell ref="F3:G3"/>
    <mergeCell ref="H3:I3"/>
  </mergeCells>
  <pageMargins left="0.7" right="0.7" top="0.75" bottom="0.75" header="0.3" footer="0.3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C4CA1-C579-45F6-8054-0B88100A434E}">
  <dimension ref="A1:G35"/>
  <sheetViews>
    <sheetView topLeftCell="A15" zoomScale="90" workbookViewId="0">
      <selection activeCell="H21" sqref="H21"/>
    </sheetView>
  </sheetViews>
  <sheetFormatPr defaultRowHeight="14.4" x14ac:dyDescent="0.3"/>
  <cols>
    <col min="1" max="1" width="33.44140625" customWidth="1"/>
    <col min="2" max="2" width="10.5546875" bestFit="1" customWidth="1"/>
    <col min="3" max="3" width="36.44140625" customWidth="1"/>
    <col min="257" max="257" width="33.44140625" customWidth="1"/>
    <col min="258" max="258" width="9" bestFit="1" customWidth="1"/>
    <col min="259" max="259" width="36.44140625" customWidth="1"/>
    <col min="513" max="513" width="33.44140625" customWidth="1"/>
    <col min="514" max="514" width="9" bestFit="1" customWidth="1"/>
    <col min="515" max="515" width="36.44140625" customWidth="1"/>
    <col min="769" max="769" width="33.44140625" customWidth="1"/>
    <col min="770" max="770" width="9" bestFit="1" customWidth="1"/>
    <col min="771" max="771" width="36.44140625" customWidth="1"/>
    <col min="1025" max="1025" width="33.44140625" customWidth="1"/>
    <col min="1026" max="1026" width="9" bestFit="1" customWidth="1"/>
    <col min="1027" max="1027" width="36.44140625" customWidth="1"/>
    <col min="1281" max="1281" width="33.44140625" customWidth="1"/>
    <col min="1282" max="1282" width="9" bestFit="1" customWidth="1"/>
    <col min="1283" max="1283" width="36.44140625" customWidth="1"/>
    <col min="1537" max="1537" width="33.44140625" customWidth="1"/>
    <col min="1538" max="1538" width="9" bestFit="1" customWidth="1"/>
    <col min="1539" max="1539" width="36.44140625" customWidth="1"/>
    <col min="1793" max="1793" width="33.44140625" customWidth="1"/>
    <col min="1794" max="1794" width="9" bestFit="1" customWidth="1"/>
    <col min="1795" max="1795" width="36.44140625" customWidth="1"/>
    <col min="2049" max="2049" width="33.44140625" customWidth="1"/>
    <col min="2050" max="2050" width="9" bestFit="1" customWidth="1"/>
    <col min="2051" max="2051" width="36.44140625" customWidth="1"/>
    <col min="2305" max="2305" width="33.44140625" customWidth="1"/>
    <col min="2306" max="2306" width="9" bestFit="1" customWidth="1"/>
    <col min="2307" max="2307" width="36.44140625" customWidth="1"/>
    <col min="2561" max="2561" width="33.44140625" customWidth="1"/>
    <col min="2562" max="2562" width="9" bestFit="1" customWidth="1"/>
    <col min="2563" max="2563" width="36.44140625" customWidth="1"/>
    <col min="2817" max="2817" width="33.44140625" customWidth="1"/>
    <col min="2818" max="2818" width="9" bestFit="1" customWidth="1"/>
    <col min="2819" max="2819" width="36.44140625" customWidth="1"/>
    <col min="3073" max="3073" width="33.44140625" customWidth="1"/>
    <col min="3074" max="3074" width="9" bestFit="1" customWidth="1"/>
    <col min="3075" max="3075" width="36.44140625" customWidth="1"/>
    <col min="3329" max="3329" width="33.44140625" customWidth="1"/>
    <col min="3330" max="3330" width="9" bestFit="1" customWidth="1"/>
    <col min="3331" max="3331" width="36.44140625" customWidth="1"/>
    <col min="3585" max="3585" width="33.44140625" customWidth="1"/>
    <col min="3586" max="3586" width="9" bestFit="1" customWidth="1"/>
    <col min="3587" max="3587" width="36.44140625" customWidth="1"/>
    <col min="3841" max="3841" width="33.44140625" customWidth="1"/>
    <col min="3842" max="3842" width="9" bestFit="1" customWidth="1"/>
    <col min="3843" max="3843" width="36.44140625" customWidth="1"/>
    <col min="4097" max="4097" width="33.44140625" customWidth="1"/>
    <col min="4098" max="4098" width="9" bestFit="1" customWidth="1"/>
    <col min="4099" max="4099" width="36.44140625" customWidth="1"/>
    <col min="4353" max="4353" width="33.44140625" customWidth="1"/>
    <col min="4354" max="4354" width="9" bestFit="1" customWidth="1"/>
    <col min="4355" max="4355" width="36.44140625" customWidth="1"/>
    <col min="4609" max="4609" width="33.44140625" customWidth="1"/>
    <col min="4610" max="4610" width="9" bestFit="1" customWidth="1"/>
    <col min="4611" max="4611" width="36.44140625" customWidth="1"/>
    <col min="4865" max="4865" width="33.44140625" customWidth="1"/>
    <col min="4866" max="4866" width="9" bestFit="1" customWidth="1"/>
    <col min="4867" max="4867" width="36.44140625" customWidth="1"/>
    <col min="5121" max="5121" width="33.44140625" customWidth="1"/>
    <col min="5122" max="5122" width="9" bestFit="1" customWidth="1"/>
    <col min="5123" max="5123" width="36.44140625" customWidth="1"/>
    <col min="5377" max="5377" width="33.44140625" customWidth="1"/>
    <col min="5378" max="5378" width="9" bestFit="1" customWidth="1"/>
    <col min="5379" max="5379" width="36.44140625" customWidth="1"/>
    <col min="5633" max="5633" width="33.44140625" customWidth="1"/>
    <col min="5634" max="5634" width="9" bestFit="1" customWidth="1"/>
    <col min="5635" max="5635" width="36.44140625" customWidth="1"/>
    <col min="5889" max="5889" width="33.44140625" customWidth="1"/>
    <col min="5890" max="5890" width="9" bestFit="1" customWidth="1"/>
    <col min="5891" max="5891" width="36.44140625" customWidth="1"/>
    <col min="6145" max="6145" width="33.44140625" customWidth="1"/>
    <col min="6146" max="6146" width="9" bestFit="1" customWidth="1"/>
    <col min="6147" max="6147" width="36.44140625" customWidth="1"/>
    <col min="6401" max="6401" width="33.44140625" customWidth="1"/>
    <col min="6402" max="6402" width="9" bestFit="1" customWidth="1"/>
    <col min="6403" max="6403" width="36.44140625" customWidth="1"/>
    <col min="6657" max="6657" width="33.44140625" customWidth="1"/>
    <col min="6658" max="6658" width="9" bestFit="1" customWidth="1"/>
    <col min="6659" max="6659" width="36.44140625" customWidth="1"/>
    <col min="6913" max="6913" width="33.44140625" customWidth="1"/>
    <col min="6914" max="6914" width="9" bestFit="1" customWidth="1"/>
    <col min="6915" max="6915" width="36.44140625" customWidth="1"/>
    <col min="7169" max="7169" width="33.44140625" customWidth="1"/>
    <col min="7170" max="7170" width="9" bestFit="1" customWidth="1"/>
    <col min="7171" max="7171" width="36.44140625" customWidth="1"/>
    <col min="7425" max="7425" width="33.44140625" customWidth="1"/>
    <col min="7426" max="7426" width="9" bestFit="1" customWidth="1"/>
    <col min="7427" max="7427" width="36.44140625" customWidth="1"/>
    <col min="7681" max="7681" width="33.44140625" customWidth="1"/>
    <col min="7682" max="7682" width="9" bestFit="1" customWidth="1"/>
    <col min="7683" max="7683" width="36.44140625" customWidth="1"/>
    <col min="7937" max="7937" width="33.44140625" customWidth="1"/>
    <col min="7938" max="7938" width="9" bestFit="1" customWidth="1"/>
    <col min="7939" max="7939" width="36.44140625" customWidth="1"/>
    <col min="8193" max="8193" width="33.44140625" customWidth="1"/>
    <col min="8194" max="8194" width="9" bestFit="1" customWidth="1"/>
    <col min="8195" max="8195" width="36.44140625" customWidth="1"/>
    <col min="8449" max="8449" width="33.44140625" customWidth="1"/>
    <col min="8450" max="8450" width="9" bestFit="1" customWidth="1"/>
    <col min="8451" max="8451" width="36.44140625" customWidth="1"/>
    <col min="8705" max="8705" width="33.44140625" customWidth="1"/>
    <col min="8706" max="8706" width="9" bestFit="1" customWidth="1"/>
    <col min="8707" max="8707" width="36.44140625" customWidth="1"/>
    <col min="8961" max="8961" width="33.44140625" customWidth="1"/>
    <col min="8962" max="8962" width="9" bestFit="1" customWidth="1"/>
    <col min="8963" max="8963" width="36.44140625" customWidth="1"/>
    <col min="9217" max="9217" width="33.44140625" customWidth="1"/>
    <col min="9218" max="9218" width="9" bestFit="1" customWidth="1"/>
    <col min="9219" max="9219" width="36.44140625" customWidth="1"/>
    <col min="9473" max="9473" width="33.44140625" customWidth="1"/>
    <col min="9474" max="9474" width="9" bestFit="1" customWidth="1"/>
    <col min="9475" max="9475" width="36.44140625" customWidth="1"/>
    <col min="9729" max="9729" width="33.44140625" customWidth="1"/>
    <col min="9730" max="9730" width="9" bestFit="1" customWidth="1"/>
    <col min="9731" max="9731" width="36.44140625" customWidth="1"/>
    <col min="9985" max="9985" width="33.44140625" customWidth="1"/>
    <col min="9986" max="9986" width="9" bestFit="1" customWidth="1"/>
    <col min="9987" max="9987" width="36.44140625" customWidth="1"/>
    <col min="10241" max="10241" width="33.44140625" customWidth="1"/>
    <col min="10242" max="10242" width="9" bestFit="1" customWidth="1"/>
    <col min="10243" max="10243" width="36.44140625" customWidth="1"/>
    <col min="10497" max="10497" width="33.44140625" customWidth="1"/>
    <col min="10498" max="10498" width="9" bestFit="1" customWidth="1"/>
    <col min="10499" max="10499" width="36.44140625" customWidth="1"/>
    <col min="10753" max="10753" width="33.44140625" customWidth="1"/>
    <col min="10754" max="10754" width="9" bestFit="1" customWidth="1"/>
    <col min="10755" max="10755" width="36.44140625" customWidth="1"/>
    <col min="11009" max="11009" width="33.44140625" customWidth="1"/>
    <col min="11010" max="11010" width="9" bestFit="1" customWidth="1"/>
    <col min="11011" max="11011" width="36.44140625" customWidth="1"/>
    <col min="11265" max="11265" width="33.44140625" customWidth="1"/>
    <col min="11266" max="11266" width="9" bestFit="1" customWidth="1"/>
    <col min="11267" max="11267" width="36.44140625" customWidth="1"/>
    <col min="11521" max="11521" width="33.44140625" customWidth="1"/>
    <col min="11522" max="11522" width="9" bestFit="1" customWidth="1"/>
    <col min="11523" max="11523" width="36.44140625" customWidth="1"/>
    <col min="11777" max="11777" width="33.44140625" customWidth="1"/>
    <col min="11778" max="11778" width="9" bestFit="1" customWidth="1"/>
    <col min="11779" max="11779" width="36.44140625" customWidth="1"/>
    <col min="12033" max="12033" width="33.44140625" customWidth="1"/>
    <col min="12034" max="12034" width="9" bestFit="1" customWidth="1"/>
    <col min="12035" max="12035" width="36.44140625" customWidth="1"/>
    <col min="12289" max="12289" width="33.44140625" customWidth="1"/>
    <col min="12290" max="12290" width="9" bestFit="1" customWidth="1"/>
    <col min="12291" max="12291" width="36.44140625" customWidth="1"/>
    <col min="12545" max="12545" width="33.44140625" customWidth="1"/>
    <col min="12546" max="12546" width="9" bestFit="1" customWidth="1"/>
    <col min="12547" max="12547" width="36.44140625" customWidth="1"/>
    <col min="12801" max="12801" width="33.44140625" customWidth="1"/>
    <col min="12802" max="12802" width="9" bestFit="1" customWidth="1"/>
    <col min="12803" max="12803" width="36.44140625" customWidth="1"/>
    <col min="13057" max="13057" width="33.44140625" customWidth="1"/>
    <col min="13058" max="13058" width="9" bestFit="1" customWidth="1"/>
    <col min="13059" max="13059" width="36.44140625" customWidth="1"/>
    <col min="13313" max="13313" width="33.44140625" customWidth="1"/>
    <col min="13314" max="13314" width="9" bestFit="1" customWidth="1"/>
    <col min="13315" max="13315" width="36.44140625" customWidth="1"/>
    <col min="13569" max="13569" width="33.44140625" customWidth="1"/>
    <col min="13570" max="13570" width="9" bestFit="1" customWidth="1"/>
    <col min="13571" max="13571" width="36.44140625" customWidth="1"/>
    <col min="13825" max="13825" width="33.44140625" customWidth="1"/>
    <col min="13826" max="13826" width="9" bestFit="1" customWidth="1"/>
    <col min="13827" max="13827" width="36.44140625" customWidth="1"/>
    <col min="14081" max="14081" width="33.44140625" customWidth="1"/>
    <col min="14082" max="14082" width="9" bestFit="1" customWidth="1"/>
    <col min="14083" max="14083" width="36.44140625" customWidth="1"/>
    <col min="14337" max="14337" width="33.44140625" customWidth="1"/>
    <col min="14338" max="14338" width="9" bestFit="1" customWidth="1"/>
    <col min="14339" max="14339" width="36.44140625" customWidth="1"/>
    <col min="14593" max="14593" width="33.44140625" customWidth="1"/>
    <col min="14594" max="14594" width="9" bestFit="1" customWidth="1"/>
    <col min="14595" max="14595" width="36.44140625" customWidth="1"/>
    <col min="14849" max="14849" width="33.44140625" customWidth="1"/>
    <col min="14850" max="14850" width="9" bestFit="1" customWidth="1"/>
    <col min="14851" max="14851" width="36.44140625" customWidth="1"/>
    <col min="15105" max="15105" width="33.44140625" customWidth="1"/>
    <col min="15106" max="15106" width="9" bestFit="1" customWidth="1"/>
    <col min="15107" max="15107" width="36.44140625" customWidth="1"/>
    <col min="15361" max="15361" width="33.44140625" customWidth="1"/>
    <col min="15362" max="15362" width="9" bestFit="1" customWidth="1"/>
    <col min="15363" max="15363" width="36.44140625" customWidth="1"/>
    <col min="15617" max="15617" width="33.44140625" customWidth="1"/>
    <col min="15618" max="15618" width="9" bestFit="1" customWidth="1"/>
    <col min="15619" max="15619" width="36.44140625" customWidth="1"/>
    <col min="15873" max="15873" width="33.44140625" customWidth="1"/>
    <col min="15874" max="15874" width="9" bestFit="1" customWidth="1"/>
    <col min="15875" max="15875" width="36.44140625" customWidth="1"/>
    <col min="16129" max="16129" width="33.44140625" customWidth="1"/>
    <col min="16130" max="16130" width="9" bestFit="1" customWidth="1"/>
    <col min="16131" max="16131" width="36.44140625" customWidth="1"/>
  </cols>
  <sheetData>
    <row r="1" spans="1:4" ht="17.399999999999999" x14ac:dyDescent="0.3">
      <c r="A1" s="44"/>
    </row>
    <row r="2" spans="1:4" ht="21" x14ac:dyDescent="0.5">
      <c r="A2" s="45"/>
      <c r="B2" s="46"/>
    </row>
    <row r="3" spans="1:4" ht="21" x14ac:dyDescent="0.5">
      <c r="A3" s="86" t="s">
        <v>95</v>
      </c>
      <c r="B3" s="86"/>
      <c r="C3" s="86"/>
      <c r="D3" s="86"/>
    </row>
    <row r="4" spans="1:4" ht="16.2" x14ac:dyDescent="0.3">
      <c r="A4" s="47" t="s">
        <v>77</v>
      </c>
      <c r="B4" s="47" t="s">
        <v>41</v>
      </c>
      <c r="C4" s="47" t="s">
        <v>78</v>
      </c>
      <c r="D4" s="47" t="s">
        <v>41</v>
      </c>
    </row>
    <row r="5" spans="1:4" ht="16.2" x14ac:dyDescent="0.3">
      <c r="A5" s="47" t="s">
        <v>79</v>
      </c>
      <c r="B5" s="47"/>
      <c r="C5" s="47" t="s">
        <v>80</v>
      </c>
      <c r="D5" s="47"/>
    </row>
    <row r="6" spans="1:4" ht="16.2" x14ac:dyDescent="0.3">
      <c r="A6" s="23" t="s">
        <v>1</v>
      </c>
      <c r="B6" s="20">
        <f>Käibeandmik!H9</f>
        <v>11730</v>
      </c>
      <c r="C6" s="47" t="s">
        <v>81</v>
      </c>
      <c r="D6" s="47"/>
    </row>
    <row r="7" spans="1:4" ht="15.6" x14ac:dyDescent="0.3">
      <c r="A7" s="23" t="s">
        <v>2</v>
      </c>
      <c r="B7" s="20">
        <f>Käibeandmik!H6</f>
        <v>13255</v>
      </c>
      <c r="C7" s="23" t="s">
        <v>6</v>
      </c>
      <c r="D7" s="20">
        <f>Käibeandmik!I14</f>
        <v>35200</v>
      </c>
    </row>
    <row r="8" spans="1:4" ht="15.6" x14ac:dyDescent="0.3">
      <c r="A8" s="23" t="s">
        <v>5</v>
      </c>
      <c r="B8" s="20">
        <f>Käibeandmik!H5</f>
        <v>4065</v>
      </c>
      <c r="C8" s="23" t="s">
        <v>47</v>
      </c>
      <c r="D8" s="20">
        <f>Käibeandmik!G17</f>
        <v>13920</v>
      </c>
    </row>
    <row r="9" spans="1:4" ht="15.6" x14ac:dyDescent="0.3">
      <c r="A9" s="23" t="s">
        <v>7</v>
      </c>
      <c r="B9" s="20">
        <f>Käibeandmik!H11</f>
        <v>324470</v>
      </c>
      <c r="C9" s="23" t="s">
        <v>13</v>
      </c>
      <c r="D9" s="20">
        <f>Käibeandmik!G13</f>
        <v>145600</v>
      </c>
    </row>
    <row r="10" spans="1:4" ht="31.2" x14ac:dyDescent="0.3">
      <c r="A10" s="48" t="s">
        <v>10</v>
      </c>
      <c r="B10" s="20">
        <f>Käibeandmik!H7</f>
        <v>10000</v>
      </c>
      <c r="C10" s="12"/>
      <c r="D10" s="12"/>
    </row>
    <row r="11" spans="1:4" ht="15.6" x14ac:dyDescent="0.3">
      <c r="A11" s="23" t="s">
        <v>9</v>
      </c>
      <c r="B11" s="20">
        <f>Käibeandmik!H10</f>
        <v>51000</v>
      </c>
      <c r="C11" s="12"/>
      <c r="D11" s="12"/>
    </row>
    <row r="12" spans="1:4" ht="16.2" x14ac:dyDescent="0.3">
      <c r="A12" s="12"/>
      <c r="C12" s="47"/>
      <c r="D12" s="47"/>
    </row>
    <row r="13" spans="1:4" ht="16.2" x14ac:dyDescent="0.3">
      <c r="A13" s="47"/>
      <c r="B13" s="47"/>
      <c r="C13" s="47"/>
      <c r="D13" s="47"/>
    </row>
    <row r="14" spans="1:4" ht="16.2" x14ac:dyDescent="0.3">
      <c r="A14" s="47"/>
      <c r="B14" s="47"/>
      <c r="C14" s="49"/>
      <c r="D14" s="47"/>
    </row>
    <row r="15" spans="1:4" ht="16.8" thickBot="1" x14ac:dyDescent="0.35">
      <c r="A15" s="50"/>
      <c r="B15" s="50"/>
      <c r="C15" s="50"/>
      <c r="D15" s="50"/>
    </row>
    <row r="16" spans="1:4" ht="16.8" thickBot="1" x14ac:dyDescent="0.35">
      <c r="A16" s="51" t="s">
        <v>82</v>
      </c>
      <c r="B16" s="52">
        <f>SUM(B6:B15)</f>
        <v>414520</v>
      </c>
      <c r="C16" s="51" t="s">
        <v>83</v>
      </c>
      <c r="D16" s="52">
        <f>SUM(D7:D15)</f>
        <v>194720</v>
      </c>
    </row>
    <row r="17" spans="1:7" ht="16.2" x14ac:dyDescent="0.3">
      <c r="A17" s="53" t="s">
        <v>84</v>
      </c>
      <c r="B17" s="53"/>
      <c r="C17" s="53" t="s">
        <v>85</v>
      </c>
      <c r="D17" s="53">
        <v>0</v>
      </c>
    </row>
    <row r="18" spans="1:7" ht="16.2" x14ac:dyDescent="0.3">
      <c r="A18" s="23" t="s">
        <v>3</v>
      </c>
      <c r="B18" s="20">
        <f>Käibeandmik!H12</f>
        <v>541000</v>
      </c>
      <c r="C18" s="47"/>
      <c r="D18" s="47"/>
    </row>
    <row r="19" spans="1:7" ht="16.2" x14ac:dyDescent="0.3">
      <c r="A19" s="47"/>
      <c r="B19" s="47"/>
      <c r="C19" s="47"/>
      <c r="D19" s="47"/>
      <c r="F19" s="3"/>
      <c r="G19" s="4"/>
    </row>
    <row r="20" spans="1:7" ht="16.2" x14ac:dyDescent="0.3">
      <c r="A20" s="47"/>
      <c r="B20" s="47"/>
      <c r="C20" s="47"/>
      <c r="D20" s="47"/>
      <c r="F20" s="3"/>
      <c r="G20" s="4"/>
    </row>
    <row r="21" spans="1:7" ht="16.2" x14ac:dyDescent="0.3">
      <c r="A21" s="47"/>
      <c r="B21" s="47"/>
      <c r="C21" s="47"/>
      <c r="D21" s="47"/>
    </row>
    <row r="22" spans="1:7" ht="16.2" x14ac:dyDescent="0.3">
      <c r="A22" s="47"/>
      <c r="B22" s="47"/>
      <c r="C22" s="47"/>
      <c r="D22" s="47"/>
    </row>
    <row r="23" spans="1:7" ht="16.2" x14ac:dyDescent="0.3">
      <c r="A23" s="47"/>
      <c r="B23" s="47"/>
      <c r="C23" s="47"/>
      <c r="D23" s="47"/>
    </row>
    <row r="24" spans="1:7" ht="16.8" thickBot="1" x14ac:dyDescent="0.35">
      <c r="A24" s="47"/>
      <c r="B24" s="47"/>
      <c r="C24" s="50"/>
      <c r="D24" s="50"/>
    </row>
    <row r="25" spans="1:7" ht="16.8" thickBot="1" x14ac:dyDescent="0.35">
      <c r="A25" s="47"/>
      <c r="B25" s="54"/>
      <c r="C25" s="51" t="s">
        <v>86</v>
      </c>
      <c r="D25" s="55">
        <f>SUM(D17:D24)</f>
        <v>0</v>
      </c>
    </row>
    <row r="26" spans="1:7" ht="16.8" thickBot="1" x14ac:dyDescent="0.35">
      <c r="A26" s="47"/>
      <c r="B26" s="54"/>
      <c r="C26" s="51" t="s">
        <v>87</v>
      </c>
      <c r="D26" s="52">
        <f>SUM(D16)</f>
        <v>194720</v>
      </c>
    </row>
    <row r="27" spans="1:7" ht="16.2" x14ac:dyDescent="0.3">
      <c r="A27" s="47"/>
      <c r="B27" s="47"/>
      <c r="C27" s="53" t="s">
        <v>88</v>
      </c>
      <c r="D27" s="53"/>
    </row>
    <row r="28" spans="1:7" ht="16.2" x14ac:dyDescent="0.3">
      <c r="A28" s="47"/>
      <c r="B28" s="47"/>
      <c r="C28" s="23" t="s">
        <v>0</v>
      </c>
      <c r="D28" s="20">
        <f>Tekst!B2</f>
        <v>600000</v>
      </c>
    </row>
    <row r="29" spans="1:7" ht="16.2" x14ac:dyDescent="0.3">
      <c r="A29" s="47"/>
      <c r="B29" s="47"/>
      <c r="C29" s="23" t="s">
        <v>4</v>
      </c>
      <c r="D29" s="20">
        <f>Tekst!B6</f>
        <v>160800</v>
      </c>
    </row>
    <row r="30" spans="1:7" ht="16.2" x14ac:dyDescent="0.3">
      <c r="A30" s="47"/>
      <c r="B30" s="47"/>
      <c r="C30" s="47"/>
      <c r="D30" s="47"/>
    </row>
    <row r="31" spans="1:7" ht="16.2" x14ac:dyDescent="0.3">
      <c r="A31" s="47"/>
      <c r="B31" s="47"/>
      <c r="C31" s="47"/>
      <c r="D31" s="47"/>
    </row>
    <row r="32" spans="1:7" ht="16.2" x14ac:dyDescent="0.3">
      <c r="A32" s="47"/>
      <c r="B32" s="47"/>
      <c r="C32" s="47"/>
      <c r="D32" s="47"/>
    </row>
    <row r="33" spans="1:4" ht="16.8" thickBot="1" x14ac:dyDescent="0.35">
      <c r="A33" s="50"/>
      <c r="B33" s="50"/>
      <c r="C33" s="50"/>
      <c r="D33" s="50"/>
    </row>
    <row r="34" spans="1:4" ht="16.8" thickBot="1" x14ac:dyDescent="0.35">
      <c r="A34" s="51" t="s">
        <v>89</v>
      </c>
      <c r="B34" s="52">
        <f>SUM(B18:B33)</f>
        <v>541000</v>
      </c>
      <c r="C34" s="51" t="s">
        <v>90</v>
      </c>
      <c r="D34" s="52">
        <f>SUM(D28:D33)</f>
        <v>760800</v>
      </c>
    </row>
    <row r="35" spans="1:4" ht="16.8" thickBot="1" x14ac:dyDescent="0.35">
      <c r="A35" s="51" t="s">
        <v>91</v>
      </c>
      <c r="B35" s="52">
        <f>SUM(B34+B16)</f>
        <v>955520</v>
      </c>
      <c r="C35" s="51" t="s">
        <v>92</v>
      </c>
      <c r="D35" s="52">
        <f>SUM(D34+D26)</f>
        <v>955520</v>
      </c>
    </row>
  </sheetData>
  <mergeCells count="1">
    <mergeCell ref="A3:D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Tekst</vt:lpstr>
      <vt:lpstr>Majandustehingud</vt:lpstr>
      <vt:lpstr>Päevaraamat</vt:lpstr>
      <vt:lpstr>T-kontod</vt:lpstr>
      <vt:lpstr>Käibeandmik</vt:lpstr>
      <vt:lpstr>Bilanss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Erik Lüllman</dc:creator>
  <cp:lastModifiedBy>markus Lüllman</cp:lastModifiedBy>
  <dcterms:created xsi:type="dcterms:W3CDTF">2026-07-13T14:37:01Z</dcterms:created>
  <dcterms:modified xsi:type="dcterms:W3CDTF">2026-07-17T16:01:31Z</dcterms:modified>
</cp:coreProperties>
</file>