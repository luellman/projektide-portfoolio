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8c36b14c3f46f3/Desktop/finantsarvestus-raamatupidamine/"/>
    </mc:Choice>
  </mc:AlternateContent>
  <xr:revisionPtr revIDLastSave="43" documentId="8_{9B37A9FE-79C6-4702-84F4-D6CDA352762B}" xr6:coauthVersionLast="47" xr6:coauthVersionMax="47" xr10:uidLastSave="{8E60DD17-A03D-404C-8B46-178FD3285BE7}"/>
  <bookViews>
    <workbookView xWindow="-108" yWindow="-108" windowWidth="23256" windowHeight="12456" xr2:uid="{98A29379-0EEA-4C35-B3DB-8C525475EEB4}"/>
  </bookViews>
  <sheets>
    <sheet name="Sheet1" sheetId="1" r:id="rId1"/>
  </sheets>
  <definedNames>
    <definedName name="ak._Kulum">Sheet1!$C$127</definedName>
    <definedName name="Brutopalk_B">Sheet1!$B$100</definedName>
    <definedName name="eraldis">Sheet1!$B$150</definedName>
    <definedName name="garantiieraldise_osa_müügitulust">Sheet1!$C$145</definedName>
    <definedName name="kauba_müük">Sheet1!$C$143</definedName>
    <definedName name="kaubaühiku_hind">Sheet1!$C$144</definedName>
    <definedName name="KM">Sheet1!$C$125</definedName>
    <definedName name="masina_netohind">Sheet1!$C$124</definedName>
    <definedName name="põhivarade_jääkmaksumus">Sheet1!$C$128</definedName>
    <definedName name="remondikulu_toote_kohta__€">Sheet1!$C$147</definedName>
    <definedName name="remondikulud">Sheet1!$B$151</definedName>
    <definedName name="remonditud_toodete_arv">Sheet1!$C$146</definedName>
    <definedName name="SM">Sheet1!$C$101</definedName>
    <definedName name="soetusmaksumus">Sheet1!$C$126</definedName>
    <definedName name="tööandja_TKM">Sheet1!$C$102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51" i="1" l="1"/>
  <c r="B150" i="1"/>
  <c r="B149" i="1"/>
  <c r="C128" i="1"/>
  <c r="H127" i="1"/>
  <c r="F127" i="1"/>
  <c r="H126" i="1"/>
  <c r="F126" i="1"/>
  <c r="H124" i="1"/>
  <c r="H125" i="1" s="1"/>
  <c r="C124" i="1"/>
  <c r="H128" i="1" s="1"/>
  <c r="H122" i="1"/>
  <c r="F121" i="1"/>
  <c r="F120" i="1"/>
  <c r="H119" i="1" s="1"/>
  <c r="H117" i="1"/>
  <c r="B100" i="1"/>
  <c r="F97" i="1"/>
  <c r="C76" i="1"/>
  <c r="E67" i="1"/>
  <c r="D67" i="1"/>
  <c r="C67" i="1"/>
  <c r="H58" i="1"/>
  <c r="E58" i="1"/>
  <c r="D58" i="1"/>
  <c r="C58" i="1"/>
  <c r="G57" i="1"/>
  <c r="I57" i="1" s="1"/>
  <c r="G56" i="1"/>
  <c r="I56" i="1" s="1"/>
  <c r="G55" i="1"/>
  <c r="I55" i="1" s="1"/>
  <c r="G54" i="1"/>
  <c r="I54" i="1" s="1"/>
  <c r="G53" i="1"/>
  <c r="I53" i="1" s="1"/>
  <c r="G52" i="1"/>
  <c r="H26" i="1"/>
  <c r="F20" i="1" s="1"/>
  <c r="G20" i="1" s="1"/>
  <c r="C23" i="1"/>
  <c r="C28" i="1" s="1"/>
  <c r="I22" i="1"/>
  <c r="H22" i="1"/>
  <c r="E22" i="1"/>
  <c r="D22" i="1"/>
  <c r="I21" i="1"/>
  <c r="H21" i="1"/>
  <c r="E21" i="1"/>
  <c r="D21" i="1"/>
  <c r="I20" i="1"/>
  <c r="H20" i="1"/>
  <c r="I19" i="1"/>
  <c r="H19" i="1"/>
  <c r="D19" i="1"/>
  <c r="I18" i="1"/>
  <c r="H18" i="1"/>
  <c r="E18" i="1"/>
  <c r="D101" i="1"/>
  <c r="I26" i="1"/>
  <c r="E68" i="1"/>
  <c r="D151" i="1"/>
  <c r="D76" i="1"/>
  <c r="D68" i="1"/>
  <c r="C129" i="1"/>
  <c r="D103" i="1"/>
  <c r="D150" i="1"/>
  <c r="D149" i="1"/>
  <c r="C68" i="1"/>
  <c r="D102" i="1"/>
  <c r="D152" i="1"/>
  <c r="E28" i="1" l="1"/>
  <c r="D73" i="1"/>
  <c r="B152" i="1"/>
  <c r="D23" i="1"/>
  <c r="H23" i="1"/>
  <c r="I23" i="1"/>
  <c r="G58" i="1"/>
  <c r="G18" i="1"/>
  <c r="C33" i="1"/>
  <c r="C44" i="1"/>
  <c r="E33" i="1"/>
  <c r="E34" i="1"/>
  <c r="C34" i="1"/>
  <c r="E30" i="1"/>
  <c r="D72" i="1"/>
  <c r="F129" i="1"/>
  <c r="H129" i="1" s="1"/>
  <c r="E23" i="1"/>
  <c r="F18" i="1"/>
  <c r="F21" i="1"/>
  <c r="G21" i="1" s="1"/>
  <c r="C125" i="1"/>
  <c r="F19" i="1"/>
  <c r="C101" i="1"/>
  <c r="G19" i="1"/>
  <c r="D71" i="1"/>
  <c r="F22" i="1"/>
  <c r="G22" i="1" s="1"/>
  <c r="C102" i="1"/>
  <c r="F128" i="1"/>
  <c r="I52" i="1"/>
  <c r="I58" i="1" s="1"/>
  <c r="C42" i="1" l="1"/>
  <c r="C103" i="1"/>
  <c r="E73" i="1"/>
  <c r="C73" i="1"/>
  <c r="E71" i="1"/>
  <c r="C71" i="1"/>
  <c r="E72" i="1"/>
  <c r="C72" i="1"/>
  <c r="F71" i="1"/>
  <c r="D74" i="1"/>
  <c r="H130" i="1"/>
  <c r="F130" i="1"/>
  <c r="G23" i="1"/>
  <c r="F23" i="1"/>
  <c r="C132" i="1"/>
  <c r="E29" i="1"/>
  <c r="C41" i="1"/>
  <c r="E31" i="1" l="1"/>
  <c r="C43" i="1"/>
  <c r="E41" i="1" s="1"/>
  <c r="C29" i="1"/>
  <c r="E37" i="1"/>
  <c r="C37" i="1"/>
  <c r="H71" i="1"/>
  <c r="G71" i="1"/>
  <c r="J72" i="1"/>
  <c r="I72" i="1"/>
  <c r="C74" i="1"/>
  <c r="J71" i="1"/>
  <c r="I71" i="1"/>
  <c r="E74" i="1"/>
  <c r="F72" i="1"/>
  <c r="J73" i="1"/>
  <c r="I73" i="1"/>
  <c r="F73" i="1"/>
  <c r="F74" i="1" l="1"/>
  <c r="D87" i="1"/>
  <c r="F87" i="1" s="1"/>
  <c r="J74" i="1"/>
  <c r="D89" i="1" s="1"/>
  <c r="F89" i="1" s="1"/>
  <c r="I74" i="1"/>
  <c r="D88" i="1" s="1"/>
  <c r="F88" i="1" s="1"/>
  <c r="H74" i="1"/>
  <c r="G74" i="1"/>
  <c r="H73" i="1"/>
  <c r="G73" i="1"/>
  <c r="H72" i="1"/>
  <c r="G7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tc={60511349-61F3-4951-8423-C94FA817F62C}</author>
    <author>tc={F45E938A-32F3-4C54-A0FB-A210F8E4E67D}</author>
    <author>tc={9DBF24A4-DF79-4E53-836F-9B9D698E4E05}</author>
    <author>tc={E95B18CF-FC72-4622-AC97-AEAA876E83EA}</author>
  </authors>
  <commentList>
    <comment ref="H54" authorId="0" shapeId="0" xr:uid="{60511349-61F3-4951-8423-C94FA817F62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24. detsember Jõululaupäev
25. detsember Esimene jõulupüha
26. detsember Teine jõulupüha </t>
      </text>
    </comment>
    <comment ref="H55" authorId="1" shapeId="0" xr:uid="{F45E938A-32F3-4C54-A0FB-A210F8E4E67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1. jaanuar Uusaasta </t>
      </text>
    </comment>
    <comment ref="H56" authorId="2" shapeId="0" xr:uid="{9DBF24A4-DF79-4E53-836F-9B9D698E4E05}">
      <text>
        <t>[Threaded comment]
Your version of Excel allows you to read this threaded comment; however, any edits to it will get removed if the file is opened in a newer version of Excel. Learn more: https://go.microsoft.com/fwlink/?linkid=870924
Comment:
    24. veebruar Iseseisvuspäev</t>
      </text>
    </comment>
    <comment ref="E99" authorId="3" shapeId="0" xr:uid="{E95B18CF-FC72-4622-AC97-AEAA876E83EA}">
      <text>
        <t>[Threaded comment]
Your version of Excel allows you to read this threaded comment; however, any edits to it will get removed if the file is opened in a newer version of Excel. Learn more: https://go.microsoft.com/fwlink/?linkid=870924
Comment:
    Töötaja tkm 1,6% kpm 2%</t>
      </text>
    </comment>
  </commentList>
</comments>
</file>

<file path=xl/sharedStrings.xml><?xml version="1.0" encoding="utf-8"?>
<sst xmlns="http://schemas.openxmlformats.org/spreadsheetml/2006/main" count="236" uniqueCount="186">
  <si>
    <t>Töötasu arvestus, puhkustasude arvestus, lühiajaliste kohustiste arvestus</t>
  </si>
  <si>
    <t>9.1. Töötasu arvestus</t>
  </si>
  <si>
    <t>Ettevõttes töötavad järgmised töötajad:</t>
  </si>
  <si>
    <t>Nende märtsikuu eest arvestatud töötasu on alltoodud tabelis</t>
  </si>
  <si>
    <t>Jrk nr</t>
  </si>
  <si>
    <t>Töötaja nimi</t>
  </si>
  <si>
    <t>Kuu (töö)tasu</t>
  </si>
  <si>
    <t>Positsioon</t>
  </si>
  <si>
    <t>Vanadus-pensionär</t>
  </si>
  <si>
    <t>Liitunud kogumis-pensioni II sambaga</t>
  </si>
  <si>
    <t>Avaldus tulumaksu-vaba miinimumi kohta</t>
  </si>
  <si>
    <t>Kalle</t>
  </si>
  <si>
    <t>Juhatuse liige</t>
  </si>
  <si>
    <t>ei</t>
  </si>
  <si>
    <t>jah</t>
  </si>
  <si>
    <t>juhatuse liikmelt tkm ei arvesta</t>
  </si>
  <si>
    <t>Malle</t>
  </si>
  <si>
    <t>Finantsjuht</t>
  </si>
  <si>
    <t>Pärtel</t>
  </si>
  <si>
    <t>Meister</t>
  </si>
  <si>
    <t>Kärt</t>
  </si>
  <si>
    <t>Müügisekretär</t>
  </si>
  <si>
    <t>Martin</t>
  </si>
  <si>
    <t>treial</t>
  </si>
  <si>
    <t>A</t>
  </si>
  <si>
    <t>Arvutada  kinnipidamised töötajate palkadelt, väljamakse ja tööandja maksud ja maksed</t>
  </si>
  <si>
    <t>Tulemused kirjutada alltoodud tabelisse:</t>
  </si>
  <si>
    <t>Kinnipidamised</t>
  </si>
  <si>
    <t>Tööandja maksud ja maksed</t>
  </si>
  <si>
    <t>tkm=1,6%</t>
  </si>
  <si>
    <t>v.a pensionär</t>
  </si>
  <si>
    <t>Arvestatud töötasu</t>
  </si>
  <si>
    <t>Töötaja töötus-kindlustus 1,6%</t>
  </si>
  <si>
    <t>Kogumis-pensioni-makse 2%</t>
  </si>
  <si>
    <t>Tulumaks</t>
  </si>
  <si>
    <t>Väljamakse</t>
  </si>
  <si>
    <t>Sotsiaal-maks 33%</t>
  </si>
  <si>
    <t>Tööandja töötus-kindlustus-makse 0,8%</t>
  </si>
  <si>
    <t>kpm=2%</t>
  </si>
  <si>
    <t>Kokku</t>
  </si>
  <si>
    <t>B</t>
  </si>
  <si>
    <t>Koostada lausendid töötasu arvestuse kohta, kui väljamakse toimus 8. aprillil</t>
  </si>
  <si>
    <t>pärtel Tmvaba</t>
  </si>
  <si>
    <t>vaja arvutada tulumaksuvaba miinimum, see lahutada brutotöötasust ning siis korrutada 0,22</t>
  </si>
  <si>
    <t>31.03.</t>
  </si>
  <si>
    <t xml:space="preserve">D töötasu kulu </t>
  </si>
  <si>
    <t>K töötasu võlg</t>
  </si>
  <si>
    <t>D võlad töötajatele</t>
  </si>
  <si>
    <t>K kpm võlg</t>
  </si>
  <si>
    <t>K tkm võlg</t>
  </si>
  <si>
    <t>K üksikisiku tm võlg</t>
  </si>
  <si>
    <t xml:space="preserve">D smkulu </t>
  </si>
  <si>
    <t>K sm võlg</t>
  </si>
  <si>
    <t xml:space="preserve">D tkm kulu </t>
  </si>
  <si>
    <t>08.04.</t>
  </si>
  <si>
    <t>maksmine</t>
  </si>
  <si>
    <t>TASU maksmise kuule järgneva 10 kuupäevaks</t>
  </si>
  <si>
    <t>K pangakonto</t>
  </si>
  <si>
    <t>C</t>
  </si>
  <si>
    <t>Millise kuu eest ja millal deklareeritakse ning tasutakse tööandja maksud ja maksed?</t>
  </si>
  <si>
    <t>järgneva kuu 10. ehk 10.05</t>
  </si>
  <si>
    <t xml:space="preserve">D kpm võlg </t>
  </si>
  <si>
    <t>K pank</t>
  </si>
  <si>
    <t>D tkm võlg</t>
  </si>
  <si>
    <t xml:space="preserve">D tm võlg </t>
  </si>
  <si>
    <t xml:space="preserve">D smvõlg </t>
  </si>
  <si>
    <t>9.2.</t>
  </si>
  <si>
    <t>Arvutada 3 töötaja aprillis väljamakstav töötasu ja puhkustasu</t>
  </si>
  <si>
    <t>Töötasu 6 eelneva kuu eest:</t>
  </si>
  <si>
    <t>kuu</t>
  </si>
  <si>
    <t>päevade arv</t>
  </si>
  <si>
    <t>pühad</t>
  </si>
  <si>
    <t>kalendripäevade arv</t>
  </si>
  <si>
    <t xml:space="preserve"> okt. 20X0</t>
  </si>
  <si>
    <t>nov. 20X0</t>
  </si>
  <si>
    <t>dets. 20X0</t>
  </si>
  <si>
    <t>jaan. 20X1</t>
  </si>
  <si>
    <t>veebr. 20X1</t>
  </si>
  <si>
    <t>märts 20X1</t>
  </si>
  <si>
    <t>kokku</t>
  </si>
  <si>
    <t>Malle töötas aprillikuus 01.-10. aprillini ja läks puhkusele alates 11. aprillist 28 kalendripäevaks, tema kuupalk on 2300 eurot</t>
  </si>
  <si>
    <t>Pärtel töötas aprillikuus 01.-18. aprillini ja läks puhkusele alates 19. aprillist 16 kalendripäevaks, tema kuupalk on 1500 eurot</t>
  </si>
  <si>
    <t>Kärt töötas aprillikuus 01.-20. aprillini ja läks puhkusele alates 21. aprillist 20 kalendripäevaks, tema kuupalk on 1100 eurot</t>
  </si>
  <si>
    <t>Kasutage 2025.a. kalendrit</t>
  </si>
  <si>
    <t>malle</t>
  </si>
  <si>
    <t xml:space="preserve">pärtel </t>
  </si>
  <si>
    <t>kärt</t>
  </si>
  <si>
    <t>töötatud periood aprillis</t>
  </si>
  <si>
    <t>töötatud päevade arv</t>
  </si>
  <si>
    <t>Keskmine päevatasu</t>
  </si>
  <si>
    <t>Aprillis arvestatud töötasu</t>
  </si>
  <si>
    <t>Puhkustasu</t>
  </si>
  <si>
    <t>KOKKU</t>
  </si>
  <si>
    <t>SM kokku</t>
  </si>
  <si>
    <t>TKM kokku</t>
  </si>
  <si>
    <t>SM puhkusetasult</t>
  </si>
  <si>
    <t>TKM puhkusetasult</t>
  </si>
  <si>
    <t>päevade arv aprillis</t>
  </si>
  <si>
    <t>Ettevõttes arvestati aprillikuu eest puhkustasueraldist 10 000 eurot</t>
  </si>
  <si>
    <t>Koostada lausendid puhkustasueraldise arvestuse kohta</t>
  </si>
  <si>
    <t xml:space="preserve">D puhkusetasu kulu 10 000 </t>
  </si>
  <si>
    <t>K puhkusetasu eraldis 10 000</t>
  </si>
  <si>
    <t xml:space="preserve">D sm kulu 3300 </t>
  </si>
  <si>
    <t>K sm eraldis 3300</t>
  </si>
  <si>
    <t xml:space="preserve">D tkm kulu 80 </t>
  </si>
  <si>
    <t>K tkm eraldis 80</t>
  </si>
  <si>
    <t>koostada lausendid 3 töötaja puhkustasu arvestamiseks puhkustasueraldise arvel</t>
  </si>
  <si>
    <t>D</t>
  </si>
  <si>
    <t>Puhkustasueraldis</t>
  </si>
  <si>
    <t>K Puhkustasu võlg</t>
  </si>
  <si>
    <t>SM eraldis</t>
  </si>
  <si>
    <t>K SM võlg</t>
  </si>
  <si>
    <t>TKM eraldis</t>
  </si>
  <si>
    <t>K TKM võlg</t>
  </si>
  <si>
    <t>9.3. Ettevõttes kandideerib logistiku  töökohale Juta, kes soovib saada töötasu arvelduskontole 1000 eurot kuus.</t>
  </si>
  <si>
    <t>Juta on liitunud kogumispensioni II sambaga, ta ei ole vanaduspensionär ning soovib esitada avalduse</t>
  </si>
  <si>
    <t>tulumaksuvaba tulu arvestamiseks summas 654 eurot kuus.</t>
  </si>
  <si>
    <t>liitunud 2 sambaga</t>
  </si>
  <si>
    <t>Palun arvutage või kasutage palgakalkulaatorit ning leidke, milline peaks olema Juta brutopalk kuus</t>
  </si>
  <si>
    <t>tm vaba 654</t>
  </si>
  <si>
    <t>Palun arvutage või kasutage palgakalkulaatorit ning leidke tööandja tööjõukulud Juta palgalt</t>
  </si>
  <si>
    <t>Brutopalk B</t>
  </si>
  <si>
    <t>Netopalk N</t>
  </si>
  <si>
    <t>maksuvaba tulu MV</t>
  </si>
  <si>
    <t>maksustatav tulu M</t>
  </si>
  <si>
    <r>
      <t>M=B-0,016B-0,02B-MV=</t>
    </r>
    <r>
      <rPr>
        <b/>
        <u/>
        <sz val="11"/>
        <color theme="1"/>
        <rFont val="Calibri"/>
        <family val="2"/>
        <scheme val="minor"/>
      </rPr>
      <t>0,964B-654</t>
    </r>
  </si>
  <si>
    <t>1000=0,964B-0,22*M</t>
  </si>
  <si>
    <t>SM</t>
  </si>
  <si>
    <t>tööandja TKM</t>
  </si>
  <si>
    <t>tööandja tööjõukulud</t>
  </si>
  <si>
    <t xml:space="preserve">9.4. </t>
  </si>
  <si>
    <t>Käibemaksuvõla jääk seisuga 01.03.20X1 on  5600 eurot</t>
  </si>
  <si>
    <t>Majandustehingud 20X1.a. märtsikuus</t>
  </si>
  <si>
    <t>1.</t>
  </si>
  <si>
    <t>Tarnijalt osteti kaupa, saadi arve: kaup 10 000 eurot ja käibemaks 2200 eurot</t>
  </si>
  <si>
    <t>Arve on tasumata</t>
  </si>
  <si>
    <t>2.</t>
  </si>
  <si>
    <t>Osteti masin, mida hakatakse kasutama põhitegevuses. Saadi arve masina maksumuses 12 000 eurot</t>
  </si>
  <si>
    <t>ja käibemaks 2640 eurot. Arve on tasumata</t>
  </si>
  <si>
    <t>3.</t>
  </si>
  <si>
    <t>Müüdi teenused maksumusega müügihinnas 25 000 eurot, millele lisandub käibemaks 22%. Raha on laekumata</t>
  </si>
  <si>
    <t>K</t>
  </si>
  <si>
    <t>4.</t>
  </si>
  <si>
    <t>Maksu- ja Tolliametile tasuti käibemaksu 5600 eurot.</t>
  </si>
  <si>
    <t xml:space="preserve">kaup </t>
  </si>
  <si>
    <t>kohustised tarnijatele</t>
  </si>
  <si>
    <t xml:space="preserve">KM </t>
  </si>
  <si>
    <t>5.</t>
  </si>
  <si>
    <t>Ostjatelt laekus ettemakse 9760 eurot, sh. käibemaks määraga 22%</t>
  </si>
  <si>
    <t>põhivarad</t>
  </si>
  <si>
    <t>6.</t>
  </si>
  <si>
    <t>Müüdi vana masin (soetusmaksumus 16 000 eurot), akumuleeritud kulum 12 000 eurot</t>
  </si>
  <si>
    <t>Nõuded ostjate vastu</t>
  </si>
  <si>
    <t>müügitulu teenustelt</t>
  </si>
  <si>
    <t>Masin müüdi 6862,5 eurot eest, sh. käibemaks määraga 22%.</t>
  </si>
  <si>
    <t>KM</t>
  </si>
  <si>
    <t>Pank</t>
  </si>
  <si>
    <t>masina netohind</t>
  </si>
  <si>
    <t>Ostjatelt saadud ettemaksed</t>
  </si>
  <si>
    <t>Käibemaks</t>
  </si>
  <si>
    <t>soetusmaksumus</t>
  </si>
  <si>
    <t>Põhivarade müük</t>
  </si>
  <si>
    <t>Põhivarad soetusmaksumuses</t>
  </si>
  <si>
    <t>ak. Kulum</t>
  </si>
  <si>
    <t>Põhivarade akumuleeritud kulum</t>
  </si>
  <si>
    <t>põhivarade jääkmaksumus</t>
  </si>
  <si>
    <t>Muud äritulud (tulum PV müügist)</t>
  </si>
  <si>
    <t>Koostada raamatupidamiskanded ning leida käibemaksuvõlg seisuga 31.03.20X1</t>
  </si>
  <si>
    <t>KM võlg</t>
  </si>
  <si>
    <t>=5600+5500+1760+1237,5-2200-2640-5600</t>
  </si>
  <si>
    <t>9.5. Garantiieraldise moodustamine</t>
  </si>
  <si>
    <t>Esimesel tegevuskuul müüdi kaupa kokku 320 000 euro eest (ei sisalda käibemaksu)</t>
  </si>
  <si>
    <t>Kaubaühiku hind oli 400 eurot</t>
  </si>
  <si>
    <t>Ettevõte kalkuleeris garantiieraldise mahuks 5% müügitulust.</t>
  </si>
  <si>
    <t>Esimesel tegevuskuul remonditi 20 toodet, iga toote remondikulud olid 50 eurot</t>
  </si>
  <si>
    <t>Leida garantiieraldise jääk esimese tegevuskuu lõpuks.</t>
  </si>
  <si>
    <t>kauba müük</t>
  </si>
  <si>
    <t>kaubaühiku hind</t>
  </si>
  <si>
    <t>garantiieraldise osa müügitulust</t>
  </si>
  <si>
    <t>remonditud toodete arv</t>
  </si>
  <si>
    <t>remondikulu toote kohta, €</t>
  </si>
  <si>
    <t>toodet</t>
  </si>
  <si>
    <t>eraldis</t>
  </si>
  <si>
    <t>remondikulud</t>
  </si>
  <si>
    <t>Eraldise jääk perioodi lõpuks</t>
  </si>
  <si>
    <t>andmed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</si>
</sst>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charset val="186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 applyAlignment="1">
      <alignment wrapText="1"/>
    </xf>
    <xf numFmtId="0" fontId="2" fillId="0" borderId="1" xfId="0" applyFont="1" applyBorder="1"/>
    <xf numFmtId="0" fontId="3" fillId="0" borderId="0" xfId="0" applyFont="1"/>
    <xf numFmtId="0" fontId="0" fillId="2" borderId="0" xfId="0" applyFill="1"/>
    <xf numFmtId="0" fontId="2" fillId="0" borderId="0" xfId="0" applyFont="1"/>
    <xf numFmtId="0" fontId="4" fillId="0" borderId="0" xfId="0" applyFont="1"/>
    <xf numFmtId="0" fontId="0" fillId="0" borderId="0" xfId="0" quotePrefix="1"/>
    <xf numFmtId="14" fontId="0" fillId="0" borderId="0" xfId="0" applyNumberFormat="1"/>
    <xf numFmtId="17" fontId="5" fillId="0" borderId="0" xfId="0" applyNumberFormat="1" applyFont="1"/>
    <xf numFmtId="0" fontId="6" fillId="0" borderId="0" xfId="0" applyFont="1"/>
    <xf numFmtId="0" fontId="0" fillId="0" borderId="8" xfId="0" applyBorder="1"/>
    <xf numFmtId="0" fontId="5" fillId="0" borderId="9" xfId="0" applyFont="1" applyBorder="1"/>
    <xf numFmtId="0" fontId="5" fillId="0" borderId="10" xfId="0" applyFont="1" applyBorder="1"/>
    <xf numFmtId="14" fontId="0" fillId="2" borderId="0" xfId="0" applyNumberFormat="1" applyFill="1"/>
    <xf numFmtId="14" fontId="0" fillId="2" borderId="11" xfId="0" applyNumberFormat="1" applyFill="1" applyBorder="1"/>
    <xf numFmtId="14" fontId="0" fillId="2" borderId="7" xfId="0" applyNumberFormat="1" applyFill="1" applyBorder="1"/>
    <xf numFmtId="14" fontId="0" fillId="2" borderId="13" xfId="0" applyNumberFormat="1" applyFill="1" applyBorder="1"/>
    <xf numFmtId="0" fontId="2" fillId="0" borderId="6" xfId="0" applyFont="1" applyBorder="1"/>
    <xf numFmtId="0" fontId="2" fillId="0" borderId="11" xfId="0" applyFont="1" applyBorder="1"/>
    <xf numFmtId="0" fontId="0" fillId="0" borderId="12" xfId="0" applyBorder="1"/>
    <xf numFmtId="0" fontId="0" fillId="0" borderId="7" xfId="0" applyBorder="1"/>
    <xf numFmtId="0" fontId="0" fillId="0" borderId="13" xfId="0" applyBorder="1"/>
    <xf numFmtId="0" fontId="2" fillId="0" borderId="14" xfId="0" applyFont="1" applyBorder="1"/>
    <xf numFmtId="0" fontId="2" fillId="0" borderId="15" xfId="0" applyFont="1" applyBorder="1"/>
    <xf numFmtId="0" fontId="2" fillId="3" borderId="15" xfId="0" applyFont="1" applyFill="1" applyBorder="1"/>
    <xf numFmtId="0" fontId="2" fillId="0" borderId="4" xfId="0" applyFont="1" applyBorder="1"/>
    <xf numFmtId="0" fontId="0" fillId="0" borderId="11" xfId="0" applyBorder="1"/>
    <xf numFmtId="0" fontId="2" fillId="0" borderId="1" xfId="0" applyFont="1" applyBorder="1" applyAlignment="1">
      <alignment horizontal="center" vertical="center"/>
    </xf>
    <xf numFmtId="0" fontId="0" fillId="0" borderId="10" xfId="0" applyBorder="1"/>
    <xf numFmtId="0" fontId="0" fillId="0" borderId="0" xfId="0" applyAlignment="1">
      <alignment wrapText="1"/>
    </xf>
    <xf numFmtId="0" fontId="0" fillId="0" borderId="4" xfId="0" applyBorder="1"/>
    <xf numFmtId="0" fontId="2" fillId="3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3" xfId="0" applyFill="1" applyBorder="1"/>
    <xf numFmtId="0" fontId="0" fillId="3" borderId="5" xfId="0" applyFill="1" applyBorder="1"/>
    <xf numFmtId="0" fontId="0" fillId="3" borderId="5" xfId="0" applyFill="1" applyBorder="1" applyAlignment="1">
      <alignment wrapText="1"/>
    </xf>
    <xf numFmtId="0" fontId="0" fillId="3" borderId="4" xfId="0" applyFill="1" applyBorder="1" applyAlignment="1">
      <alignment wrapText="1"/>
    </xf>
    <xf numFmtId="0" fontId="0" fillId="3" borderId="1" xfId="0" applyFill="1" applyBorder="1" applyAlignment="1">
      <alignment horizontal="center" wrapText="1"/>
    </xf>
    <xf numFmtId="0" fontId="0" fillId="2" borderId="6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0" borderId="0" xfId="0" applyFont="1" applyBorder="1"/>
    <xf numFmtId="0" fontId="0" fillId="0" borderId="0" xfId="0" applyBorder="1"/>
    <xf numFmtId="2" fontId="2" fillId="0" borderId="1" xfId="0" applyNumberFormat="1" applyFont="1" applyBorder="1"/>
    <xf numFmtId="2" fontId="0" fillId="2" borderId="1" xfId="0" applyNumberFormat="1" applyFill="1" applyBorder="1"/>
    <xf numFmtId="0" fontId="0" fillId="0" borderId="1" xfId="0" quotePrefix="1" applyBorder="1"/>
    <xf numFmtId="0" fontId="0" fillId="4" borderId="1" xfId="0" applyFill="1" applyBorder="1" applyAlignment="1">
      <alignment horizontal="center"/>
    </xf>
    <xf numFmtId="2" fontId="0" fillId="0" borderId="1" xfId="0" applyNumberFormat="1" applyBorder="1"/>
    <xf numFmtId="14" fontId="2" fillId="0" borderId="1" xfId="0" applyNumberFormat="1" applyFont="1" applyBorder="1"/>
    <xf numFmtId="14" fontId="0" fillId="0" borderId="1" xfId="0" applyNumberFormat="1" applyBorder="1"/>
    <xf numFmtId="0" fontId="0" fillId="0" borderId="16" xfId="0" applyBorder="1"/>
    <xf numFmtId="2" fontId="2" fillId="0" borderId="0" xfId="0" applyNumberFormat="1" applyFont="1" applyBorder="1"/>
    <xf numFmtId="2" fontId="2" fillId="0" borderId="16" xfId="0" applyNumberFormat="1" applyFont="1" applyBorder="1"/>
    <xf numFmtId="0" fontId="0" fillId="3" borderId="1" xfId="0" applyFill="1" applyBorder="1" applyAlignment="1">
      <alignment horizontal="right"/>
    </xf>
    <xf numFmtId="17" fontId="0" fillId="0" borderId="1" xfId="0" applyNumberFormat="1" applyBorder="1"/>
    <xf numFmtId="17" fontId="5" fillId="0" borderId="1" xfId="0" applyNumberFormat="1" applyFont="1" applyBorder="1"/>
    <xf numFmtId="0" fontId="6" fillId="0" borderId="1" xfId="0" applyFont="1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kus Lüllman" id="{7C8DFC19-901C-48E7-BD4F-B7652509BD79}" userId="598c36b14c3f46f3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54" dT="2026-07-11T10:04:42.94" personId="{7C8DFC19-901C-48E7-BD4F-B7652509BD79}" id="{60511349-61F3-4951-8423-C94FA817F62C}">
    <text xml:space="preserve">24. detsember Jõululaupäev
25. detsember Esimene jõulupüha
26. detsember Teine jõulupüha </text>
  </threadedComment>
  <threadedComment ref="H55" dT="2026-07-11T10:05:09.75" personId="{7C8DFC19-901C-48E7-BD4F-B7652509BD79}" id="{F45E938A-32F3-4C54-A0FB-A210F8E4E67D}">
    <text xml:space="preserve">1. jaanuar Uusaasta </text>
  </threadedComment>
  <threadedComment ref="H56" dT="2026-07-11T10:05:46.72" personId="{7C8DFC19-901C-48E7-BD4F-B7652509BD79}" id="{9DBF24A4-DF79-4E53-836F-9B9D698E4E05}">
    <text>24. veebruar Iseseisvuspäev</text>
  </threadedComment>
  <threadedComment ref="E99" dT="2026-07-12T09:53:12.30" personId="{7C8DFC19-901C-48E7-BD4F-B7652509BD79}" id="{E95B18CF-FC72-4622-AC97-AEAA876E83EA}">
    <text>Töötaja tkm 1,6% kpm 2%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DE8D6-ED4F-4B99-AD6C-84B88032C685}">
  <dimension ref="A2:L152"/>
  <sheetViews>
    <sheetView tabSelected="1" topLeftCell="A87" zoomScale="79" zoomScaleNormal="115" workbookViewId="0">
      <selection activeCell="D84" sqref="D84"/>
    </sheetView>
  </sheetViews>
  <sheetFormatPr defaultRowHeight="14.4" x14ac:dyDescent="0.3"/>
  <cols>
    <col min="2" max="2" width="28.5546875" customWidth="1"/>
    <col min="3" max="3" width="34.77734375" customWidth="1"/>
    <col min="4" max="4" width="30" customWidth="1"/>
    <col min="5" max="5" width="31.44140625" customWidth="1"/>
    <col min="6" max="6" width="18.109375" customWidth="1"/>
    <col min="7" max="7" width="30.77734375" customWidth="1"/>
    <col min="8" max="10" width="25.33203125" customWidth="1"/>
  </cols>
  <sheetData>
    <row r="2" spans="1:12" s="1" customFormat="1" x14ac:dyDescent="0.3">
      <c r="B2" s="1" t="s">
        <v>0</v>
      </c>
    </row>
    <row r="4" spans="1:12" x14ac:dyDescent="0.3">
      <c r="B4" t="s">
        <v>1</v>
      </c>
    </row>
    <row r="5" spans="1:12" x14ac:dyDescent="0.3">
      <c r="B5" t="s">
        <v>2</v>
      </c>
    </row>
    <row r="6" spans="1:12" x14ac:dyDescent="0.3">
      <c r="B6" t="s">
        <v>3</v>
      </c>
    </row>
    <row r="7" spans="1:12" ht="28.8" x14ac:dyDescent="0.3">
      <c r="A7" s="39" t="s">
        <v>4</v>
      </c>
      <c r="B7" s="39" t="s">
        <v>5</v>
      </c>
      <c r="C7" s="39" t="s">
        <v>6</v>
      </c>
      <c r="D7" s="39" t="s">
        <v>7</v>
      </c>
      <c r="E7" s="40" t="s">
        <v>8</v>
      </c>
      <c r="F7" s="40" t="s">
        <v>9</v>
      </c>
      <c r="G7" s="40" t="s">
        <v>10</v>
      </c>
    </row>
    <row r="8" spans="1:12" x14ac:dyDescent="0.3">
      <c r="A8" s="2">
        <v>1</v>
      </c>
      <c r="B8" s="2" t="s">
        <v>11</v>
      </c>
      <c r="C8" s="2">
        <v>2200</v>
      </c>
      <c r="D8" s="2" t="s">
        <v>12</v>
      </c>
      <c r="E8" s="2" t="s">
        <v>13</v>
      </c>
      <c r="F8" s="2" t="s">
        <v>14</v>
      </c>
      <c r="G8" s="3">
        <v>654</v>
      </c>
      <c r="H8" s="4" t="s">
        <v>15</v>
      </c>
    </row>
    <row r="9" spans="1:12" x14ac:dyDescent="0.3">
      <c r="A9" s="2">
        <v>2</v>
      </c>
      <c r="B9" s="2" t="s">
        <v>16</v>
      </c>
      <c r="C9" s="2">
        <v>2300</v>
      </c>
      <c r="D9" s="2" t="s">
        <v>17</v>
      </c>
      <c r="E9" s="2" t="s">
        <v>13</v>
      </c>
      <c r="F9" s="2" t="s">
        <v>13</v>
      </c>
      <c r="G9" s="2" t="s">
        <v>13</v>
      </c>
    </row>
    <row r="10" spans="1:12" x14ac:dyDescent="0.3">
      <c r="A10" s="2">
        <v>3</v>
      </c>
      <c r="B10" s="2" t="s">
        <v>18</v>
      </c>
      <c r="C10" s="2">
        <v>1500</v>
      </c>
      <c r="D10" s="2" t="s">
        <v>19</v>
      </c>
      <c r="E10" s="2" t="s">
        <v>14</v>
      </c>
      <c r="F10" s="2" t="s">
        <v>13</v>
      </c>
      <c r="G10" s="3">
        <v>500</v>
      </c>
    </row>
    <row r="11" spans="1:12" x14ac:dyDescent="0.3">
      <c r="A11" s="2">
        <v>4</v>
      </c>
      <c r="B11" s="2" t="s">
        <v>20</v>
      </c>
      <c r="C11" s="2">
        <v>1100</v>
      </c>
      <c r="D11" s="2" t="s">
        <v>21</v>
      </c>
      <c r="E11" s="2" t="s">
        <v>13</v>
      </c>
      <c r="F11" s="2" t="s">
        <v>14</v>
      </c>
      <c r="G11" s="3">
        <v>400</v>
      </c>
    </row>
    <row r="12" spans="1:12" x14ac:dyDescent="0.3">
      <c r="A12" s="2">
        <v>5</v>
      </c>
      <c r="B12" s="2" t="s">
        <v>22</v>
      </c>
      <c r="C12" s="2">
        <v>950</v>
      </c>
      <c r="D12" s="2" t="s">
        <v>23</v>
      </c>
      <c r="E12" s="2" t="s">
        <v>13</v>
      </c>
      <c r="F12" s="2" t="s">
        <v>14</v>
      </c>
      <c r="G12" s="3">
        <v>654</v>
      </c>
    </row>
    <row r="14" spans="1:12" x14ac:dyDescent="0.3">
      <c r="A14" t="s">
        <v>24</v>
      </c>
      <c r="B14" t="s">
        <v>25</v>
      </c>
    </row>
    <row r="15" spans="1:12" x14ac:dyDescent="0.3">
      <c r="B15" t="s">
        <v>26</v>
      </c>
    </row>
    <row r="16" spans="1:12" ht="32.1" customHeight="1" x14ac:dyDescent="0.3">
      <c r="A16" s="41"/>
      <c r="B16" s="41"/>
      <c r="C16" s="41"/>
      <c r="D16" s="50" t="s">
        <v>27</v>
      </c>
      <c r="E16" s="51"/>
      <c r="F16" s="51"/>
      <c r="G16" s="39"/>
      <c r="H16" s="45" t="s">
        <v>28</v>
      </c>
      <c r="I16" s="45"/>
      <c r="K16" t="s">
        <v>29</v>
      </c>
      <c r="L16" t="s">
        <v>30</v>
      </c>
    </row>
    <row r="17" spans="1:11" ht="28.8" x14ac:dyDescent="0.3">
      <c r="A17" s="42" t="s">
        <v>4</v>
      </c>
      <c r="B17" s="42" t="s">
        <v>5</v>
      </c>
      <c r="C17" s="43" t="s">
        <v>31</v>
      </c>
      <c r="D17" s="44" t="s">
        <v>32</v>
      </c>
      <c r="E17" s="40" t="s">
        <v>33</v>
      </c>
      <c r="F17" s="40" t="s">
        <v>34</v>
      </c>
      <c r="G17" s="40" t="s">
        <v>35</v>
      </c>
      <c r="H17" s="40" t="s">
        <v>36</v>
      </c>
      <c r="I17" s="40" t="s">
        <v>37</v>
      </c>
      <c r="K17" s="7" t="s">
        <v>38</v>
      </c>
    </row>
    <row r="18" spans="1:11" x14ac:dyDescent="0.3">
      <c r="A18" s="2">
        <v>1</v>
      </c>
      <c r="B18" s="2" t="s">
        <v>11</v>
      </c>
      <c r="C18" s="2">
        <v>2200</v>
      </c>
      <c r="D18" s="2">
        <v>0</v>
      </c>
      <c r="E18" s="2">
        <f>C18*0.02</f>
        <v>44</v>
      </c>
      <c r="F18">
        <f>(C18-D18-E18)*0.22</f>
        <v>474.32</v>
      </c>
      <c r="G18" s="2">
        <f>C18-D18-E18-F18</f>
        <v>1681.68</v>
      </c>
      <c r="H18" s="2">
        <f>0.33*C18</f>
        <v>726</v>
      </c>
      <c r="I18" s="2">
        <f>C18*0.008</f>
        <v>17.600000000000001</v>
      </c>
    </row>
    <row r="19" spans="1:11" x14ac:dyDescent="0.3">
      <c r="A19" s="2">
        <v>2</v>
      </c>
      <c r="B19" s="2" t="s">
        <v>16</v>
      </c>
      <c r="C19" s="2">
        <v>2300</v>
      </c>
      <c r="D19" s="2">
        <f>C19*0.016</f>
        <v>36.800000000000004</v>
      </c>
      <c r="E19" s="2">
        <v>0</v>
      </c>
      <c r="F19" s="2">
        <f>(C19-D19-E19)*0.22</f>
        <v>497.90399999999994</v>
      </c>
      <c r="G19" s="2">
        <f>C19-D19-E19-F19</f>
        <v>1765.2959999999998</v>
      </c>
      <c r="H19" s="2">
        <f>0.33*C19</f>
        <v>759</v>
      </c>
      <c r="I19" s="2">
        <f>C19*0.008</f>
        <v>18.400000000000002</v>
      </c>
    </row>
    <row r="20" spans="1:11" x14ac:dyDescent="0.3">
      <c r="A20" s="2">
        <v>3</v>
      </c>
      <c r="B20" s="2" t="s">
        <v>18</v>
      </c>
      <c r="C20" s="2">
        <v>1500</v>
      </c>
      <c r="D20" s="2">
        <v>0</v>
      </c>
      <c r="E20" s="2">
        <v>0</v>
      </c>
      <c r="F20" s="2">
        <f>(C20-H26)*0.22</f>
        <v>234.08</v>
      </c>
      <c r="G20" s="2">
        <f>C20-F20</f>
        <v>1265.92</v>
      </c>
      <c r="H20" s="2">
        <f>0.33*C20</f>
        <v>495</v>
      </c>
      <c r="I20" s="2">
        <f>C20*0.008</f>
        <v>12</v>
      </c>
    </row>
    <row r="21" spans="1:11" x14ac:dyDescent="0.3">
      <c r="A21" s="2">
        <v>4</v>
      </c>
      <c r="B21" s="2" t="s">
        <v>20</v>
      </c>
      <c r="C21" s="2">
        <v>1100</v>
      </c>
      <c r="D21" s="2">
        <f>C21*0.016</f>
        <v>17.600000000000001</v>
      </c>
      <c r="E21" s="2">
        <f>C21*0.02</f>
        <v>22</v>
      </c>
      <c r="F21" s="2">
        <f>(C21-D21-E21-400)*0.22</f>
        <v>145.28800000000001</v>
      </c>
      <c r="G21" s="2">
        <f>C21-D21-E21-F21</f>
        <v>915.11200000000008</v>
      </c>
      <c r="H21" s="2">
        <f>0.33*C21</f>
        <v>363</v>
      </c>
      <c r="I21" s="2">
        <f>C21*0.008</f>
        <v>8.8000000000000007</v>
      </c>
    </row>
    <row r="22" spans="1:11" x14ac:dyDescent="0.3">
      <c r="A22" s="2">
        <v>5</v>
      </c>
      <c r="B22" s="2" t="s">
        <v>22</v>
      </c>
      <c r="C22" s="2">
        <v>950</v>
      </c>
      <c r="D22" s="2">
        <f>C22*0.016</f>
        <v>15.200000000000001</v>
      </c>
      <c r="E22" s="2">
        <f>C22*0.02</f>
        <v>19</v>
      </c>
      <c r="F22" s="2">
        <f>(C22-D22-E22-654)*0.22</f>
        <v>57.595999999999989</v>
      </c>
      <c r="G22" s="2">
        <f>C22-D22-E22-F22</f>
        <v>858.20399999999995</v>
      </c>
      <c r="H22" s="2">
        <f>0.33*C22</f>
        <v>313.5</v>
      </c>
      <c r="I22" s="2">
        <f>C22*0.008</f>
        <v>7.6000000000000005</v>
      </c>
    </row>
    <row r="23" spans="1:11" x14ac:dyDescent="0.3">
      <c r="A23" s="2"/>
      <c r="B23" s="8" t="s">
        <v>39</v>
      </c>
      <c r="C23" s="8">
        <f>SUM(C18:C22)</f>
        <v>8050</v>
      </c>
      <c r="D23" s="8">
        <f t="shared" ref="D23:I23" si="0">SUM(D18:D22)</f>
        <v>69.600000000000009</v>
      </c>
      <c r="E23" s="8">
        <f t="shared" si="0"/>
        <v>85</v>
      </c>
      <c r="F23" s="8">
        <f t="shared" si="0"/>
        <v>1409.1879999999999</v>
      </c>
      <c r="G23" s="8">
        <f t="shared" si="0"/>
        <v>6486.2119999999995</v>
      </c>
      <c r="H23" s="8">
        <f t="shared" si="0"/>
        <v>2656.5</v>
      </c>
      <c r="I23" s="8">
        <f t="shared" si="0"/>
        <v>64.399999999999991</v>
      </c>
    </row>
    <row r="25" spans="1:11" x14ac:dyDescent="0.3">
      <c r="A25" t="s">
        <v>40</v>
      </c>
      <c r="B25" t="s">
        <v>41</v>
      </c>
      <c r="H25" s="9" t="s">
        <v>42</v>
      </c>
      <c r="I25" s="9" t="s">
        <v>43</v>
      </c>
    </row>
    <row r="26" spans="1:11" x14ac:dyDescent="0.3">
      <c r="A26" s="10" t="s">
        <v>44</v>
      </c>
      <c r="H26">
        <f>654-(654/900)*300</f>
        <v>436</v>
      </c>
      <c r="I26" t="str">
        <f ca="1">_xlfn.FORMULATEXT(H26)</f>
        <v>=654-(654/900)*300</v>
      </c>
    </row>
    <row r="28" spans="1:11" x14ac:dyDescent="0.3">
      <c r="B28" s="8" t="s">
        <v>45</v>
      </c>
      <c r="C28" s="2">
        <f>C23</f>
        <v>8050</v>
      </c>
      <c r="D28" s="8" t="s">
        <v>46</v>
      </c>
      <c r="E28" s="2">
        <f>C23</f>
        <v>8050</v>
      </c>
    </row>
    <row r="29" spans="1:11" x14ac:dyDescent="0.3">
      <c r="B29" s="8" t="s">
        <v>47</v>
      </c>
      <c r="C29" s="2">
        <f>D23+E23+F23</f>
        <v>1563.788</v>
      </c>
      <c r="D29" s="8" t="s">
        <v>48</v>
      </c>
      <c r="E29" s="2">
        <f>E23</f>
        <v>85</v>
      </c>
    </row>
    <row r="30" spans="1:11" x14ac:dyDescent="0.3">
      <c r="B30" s="2"/>
      <c r="C30" s="2"/>
      <c r="D30" s="8" t="s">
        <v>49</v>
      </c>
      <c r="E30" s="2">
        <f>D23</f>
        <v>69.600000000000009</v>
      </c>
    </row>
    <row r="31" spans="1:11" x14ac:dyDescent="0.3">
      <c r="B31" s="2"/>
      <c r="C31" s="2"/>
      <c r="D31" s="8" t="s">
        <v>50</v>
      </c>
      <c r="E31" s="2">
        <f>F23</f>
        <v>1409.1879999999999</v>
      </c>
    </row>
    <row r="33" spans="1:9" x14ac:dyDescent="0.3">
      <c r="B33" s="8" t="s">
        <v>51</v>
      </c>
      <c r="C33" s="2">
        <f>H23</f>
        <v>2656.5</v>
      </c>
      <c r="D33" s="8" t="s">
        <v>52</v>
      </c>
      <c r="E33" s="2">
        <f>H23</f>
        <v>2656.5</v>
      </c>
    </row>
    <row r="34" spans="1:9" x14ac:dyDescent="0.3">
      <c r="B34" s="8" t="s">
        <v>53</v>
      </c>
      <c r="C34" s="2">
        <f>I23</f>
        <v>64.399999999999991</v>
      </c>
      <c r="D34" s="8" t="s">
        <v>49</v>
      </c>
      <c r="E34" s="2">
        <f>I23</f>
        <v>64.399999999999991</v>
      </c>
    </row>
    <row r="35" spans="1:9" x14ac:dyDescent="0.3">
      <c r="B35" s="52"/>
      <c r="C35" s="53"/>
      <c r="D35" s="52"/>
      <c r="E35" s="53"/>
    </row>
    <row r="36" spans="1:9" x14ac:dyDescent="0.3">
      <c r="A36" s="10" t="s">
        <v>54</v>
      </c>
      <c r="B36" s="12" t="s">
        <v>55</v>
      </c>
      <c r="C36" t="s">
        <v>56</v>
      </c>
      <c r="I36" s="13"/>
    </row>
    <row r="37" spans="1:9" x14ac:dyDescent="0.3">
      <c r="B37" s="8" t="s">
        <v>47</v>
      </c>
      <c r="C37" s="2">
        <f>G23</f>
        <v>6486.2119999999995</v>
      </c>
      <c r="D37" s="8" t="s">
        <v>57</v>
      </c>
      <c r="E37" s="2">
        <f>G23</f>
        <v>6486.2119999999995</v>
      </c>
    </row>
    <row r="38" spans="1:9" x14ac:dyDescent="0.3">
      <c r="A38" t="s">
        <v>58</v>
      </c>
      <c r="B38" t="s">
        <v>59</v>
      </c>
    </row>
    <row r="39" spans="1:9" x14ac:dyDescent="0.3">
      <c r="B39" t="s">
        <v>60</v>
      </c>
    </row>
    <row r="41" spans="1:9" x14ac:dyDescent="0.3">
      <c r="B41" s="8" t="s">
        <v>61</v>
      </c>
      <c r="C41" s="2">
        <f>E23</f>
        <v>85</v>
      </c>
      <c r="D41" s="8" t="s">
        <v>62</v>
      </c>
      <c r="E41" s="2">
        <f>SUM(C41:C44)</f>
        <v>4284.6880000000001</v>
      </c>
    </row>
    <row r="42" spans="1:9" x14ac:dyDescent="0.3">
      <c r="B42" s="8" t="s">
        <v>63</v>
      </c>
      <c r="C42" s="2">
        <f>D23+I23</f>
        <v>134</v>
      </c>
      <c r="D42" s="2"/>
      <c r="E42" s="2"/>
    </row>
    <row r="43" spans="1:9" x14ac:dyDescent="0.3">
      <c r="B43" s="8" t="s">
        <v>64</v>
      </c>
      <c r="C43" s="2">
        <f>F23</f>
        <v>1409.1879999999999</v>
      </c>
      <c r="D43" s="2"/>
      <c r="E43" s="2"/>
    </row>
    <row r="44" spans="1:9" x14ac:dyDescent="0.3">
      <c r="B44" s="8" t="s">
        <v>65</v>
      </c>
      <c r="C44" s="2">
        <f>H23</f>
        <v>2656.5</v>
      </c>
      <c r="D44" s="2"/>
      <c r="E44" s="2"/>
    </row>
    <row r="47" spans="1:9" s="61" customFormat="1" ht="15" thickBot="1" x14ac:dyDescent="0.35"/>
    <row r="49" spans="2:9" x14ac:dyDescent="0.3">
      <c r="B49" t="s">
        <v>66</v>
      </c>
      <c r="C49" t="s">
        <v>67</v>
      </c>
    </row>
    <row r="50" spans="2:9" x14ac:dyDescent="0.3">
      <c r="B50" s="68" t="s">
        <v>68</v>
      </c>
      <c r="C50" s="69"/>
      <c r="D50" s="69"/>
      <c r="E50" s="70"/>
      <c r="F50" s="2"/>
      <c r="G50" s="2"/>
      <c r="H50" s="2"/>
      <c r="I50" s="2"/>
    </row>
    <row r="51" spans="2:9" x14ac:dyDescent="0.3">
      <c r="B51" s="2"/>
      <c r="C51" s="64" t="s">
        <v>16</v>
      </c>
      <c r="D51" s="64" t="s">
        <v>18</v>
      </c>
      <c r="E51" s="64" t="s">
        <v>20</v>
      </c>
      <c r="F51" s="64" t="s">
        <v>69</v>
      </c>
      <c r="G51" s="64" t="s">
        <v>70</v>
      </c>
      <c r="H51" s="64" t="s">
        <v>71</v>
      </c>
      <c r="I51" s="64" t="s">
        <v>72</v>
      </c>
    </row>
    <row r="52" spans="2:9" x14ac:dyDescent="0.3">
      <c r="B52" s="65" t="s">
        <v>73</v>
      </c>
      <c r="C52" s="2">
        <v>2200</v>
      </c>
      <c r="D52" s="2">
        <v>1500</v>
      </c>
      <c r="E52" s="2">
        <v>1000</v>
      </c>
      <c r="F52" s="60">
        <v>45566</v>
      </c>
      <c r="G52" s="2">
        <f>DAY(EOMONTH(F52,0))</f>
        <v>31</v>
      </c>
      <c r="H52" s="2">
        <v>0</v>
      </c>
      <c r="I52" s="2">
        <f>G52-H52</f>
        <v>31</v>
      </c>
    </row>
    <row r="53" spans="2:9" x14ac:dyDescent="0.3">
      <c r="B53" s="65" t="s">
        <v>74</v>
      </c>
      <c r="C53" s="2">
        <v>1900</v>
      </c>
      <c r="D53" s="2">
        <v>1350</v>
      </c>
      <c r="E53" s="2">
        <v>950</v>
      </c>
      <c r="F53" s="60">
        <v>45597</v>
      </c>
      <c r="G53" s="2">
        <f t="shared" ref="G53:G57" si="1">DAY(EOMONTH(F53,0))</f>
        <v>30</v>
      </c>
      <c r="H53" s="2">
        <v>0</v>
      </c>
      <c r="I53" s="2">
        <f t="shared" ref="I53:I57" si="2">G53-H53</f>
        <v>30</v>
      </c>
    </row>
    <row r="54" spans="2:9" x14ac:dyDescent="0.3">
      <c r="B54" s="65" t="s">
        <v>75</v>
      </c>
      <c r="C54" s="2">
        <v>2100</v>
      </c>
      <c r="D54" s="2">
        <v>1600</v>
      </c>
      <c r="E54" s="2">
        <v>1200</v>
      </c>
      <c r="F54" s="60">
        <v>45627</v>
      </c>
      <c r="G54" s="2">
        <f t="shared" si="1"/>
        <v>31</v>
      </c>
      <c r="H54" s="8">
        <v>3</v>
      </c>
      <c r="I54" s="2">
        <f t="shared" si="2"/>
        <v>28</v>
      </c>
    </row>
    <row r="55" spans="2:9" x14ac:dyDescent="0.3">
      <c r="B55" s="65" t="s">
        <v>76</v>
      </c>
      <c r="C55" s="2">
        <v>2100</v>
      </c>
      <c r="D55" s="2">
        <v>1800</v>
      </c>
      <c r="E55" s="2">
        <v>1250</v>
      </c>
      <c r="F55" s="60">
        <v>45658</v>
      </c>
      <c r="G55" s="2">
        <f t="shared" si="1"/>
        <v>31</v>
      </c>
      <c r="H55" s="8">
        <v>1</v>
      </c>
      <c r="I55" s="2">
        <f t="shared" si="2"/>
        <v>30</v>
      </c>
    </row>
    <row r="56" spans="2:9" x14ac:dyDescent="0.3">
      <c r="B56" s="65" t="s">
        <v>77</v>
      </c>
      <c r="C56" s="2">
        <v>2200</v>
      </c>
      <c r="D56" s="2">
        <v>1450</v>
      </c>
      <c r="E56" s="2">
        <v>1200</v>
      </c>
      <c r="F56" s="60">
        <v>45689</v>
      </c>
      <c r="G56" s="2">
        <f t="shared" si="1"/>
        <v>28</v>
      </c>
      <c r="H56" s="8">
        <v>1</v>
      </c>
      <c r="I56" s="2">
        <f t="shared" si="2"/>
        <v>27</v>
      </c>
    </row>
    <row r="57" spans="2:9" x14ac:dyDescent="0.3">
      <c r="B57" s="65" t="s">
        <v>78</v>
      </c>
      <c r="C57" s="2">
        <v>2300</v>
      </c>
      <c r="D57" s="2">
        <v>1500</v>
      </c>
      <c r="E57" s="2">
        <v>1100</v>
      </c>
      <c r="F57" s="60">
        <v>45717</v>
      </c>
      <c r="G57" s="2">
        <f t="shared" si="1"/>
        <v>31</v>
      </c>
      <c r="H57" s="2">
        <v>0</v>
      </c>
      <c r="I57" s="2">
        <f t="shared" si="2"/>
        <v>31</v>
      </c>
    </row>
    <row r="58" spans="2:9" x14ac:dyDescent="0.3">
      <c r="B58" s="66" t="s">
        <v>79</v>
      </c>
      <c r="C58" s="67">
        <f>SUM(C52:C57)</f>
        <v>12800</v>
      </c>
      <c r="D58" s="67">
        <f t="shared" ref="D58:E58" si="3">SUM(D52:D57)</f>
        <v>9200</v>
      </c>
      <c r="E58" s="67">
        <f t="shared" si="3"/>
        <v>6700</v>
      </c>
      <c r="F58" s="8" t="s">
        <v>79</v>
      </c>
      <c r="G58" s="8">
        <f>SUM(G52:G57)</f>
        <v>182</v>
      </c>
      <c r="H58" s="8">
        <f>SUM(H52:H57)</f>
        <v>5</v>
      </c>
      <c r="I58" s="8">
        <f>SUM(I52:I57)</f>
        <v>177</v>
      </c>
    </row>
    <row r="59" spans="2:9" x14ac:dyDescent="0.3">
      <c r="B59" s="15"/>
      <c r="C59" s="16"/>
      <c r="D59" s="16"/>
      <c r="E59" s="16"/>
      <c r="F59" s="11"/>
      <c r="G59" s="11"/>
      <c r="H59" s="11"/>
      <c r="I59" s="11"/>
    </row>
    <row r="60" spans="2:9" x14ac:dyDescent="0.3">
      <c r="B60" t="s">
        <v>80</v>
      </c>
    </row>
    <row r="61" spans="2:9" x14ac:dyDescent="0.3">
      <c r="B61" t="s">
        <v>81</v>
      </c>
    </row>
    <row r="62" spans="2:9" x14ac:dyDescent="0.3">
      <c r="B62" t="s">
        <v>82</v>
      </c>
    </row>
    <row r="63" spans="2:9" x14ac:dyDescent="0.3">
      <c r="B63" s="11" t="s">
        <v>83</v>
      </c>
      <c r="D63" s="14"/>
    </row>
    <row r="64" spans="2:9" x14ac:dyDescent="0.3">
      <c r="B64" s="17"/>
      <c r="C64" s="18" t="s">
        <v>84</v>
      </c>
      <c r="D64" s="18" t="s">
        <v>85</v>
      </c>
      <c r="E64" s="19" t="s">
        <v>86</v>
      </c>
    </row>
    <row r="65" spans="1:10" x14ac:dyDescent="0.3">
      <c r="B65" s="46" t="s">
        <v>87</v>
      </c>
      <c r="C65" s="20">
        <v>45748</v>
      </c>
      <c r="D65" s="20">
        <v>45748</v>
      </c>
      <c r="E65" s="21">
        <v>45748</v>
      </c>
    </row>
    <row r="66" spans="1:10" x14ac:dyDescent="0.3">
      <c r="B66" s="47"/>
      <c r="C66" s="22">
        <v>45757</v>
      </c>
      <c r="D66" s="22">
        <v>45765</v>
      </c>
      <c r="E66" s="23">
        <v>45767</v>
      </c>
    </row>
    <row r="67" spans="1:10" x14ac:dyDescent="0.3">
      <c r="B67" s="24" t="s">
        <v>88</v>
      </c>
      <c r="C67" s="11">
        <f>NETWORKDAYS(C65,C66)</f>
        <v>8</v>
      </c>
      <c r="D67" s="11">
        <f>NETWORKDAYS(D65,D66,D66)</f>
        <v>13</v>
      </c>
      <c r="E67" s="25">
        <f>NETWORKDAYS(E65,E66,D66)</f>
        <v>13</v>
      </c>
    </row>
    <row r="68" spans="1:10" x14ac:dyDescent="0.3">
      <c r="B68" s="26"/>
      <c r="C68" s="27" t="str">
        <f ca="1">_xlfn.FORMULATEXT(C67)</f>
        <v>=NETWORKDAYS(C65;C66)</v>
      </c>
      <c r="D68" s="27" t="str">
        <f t="shared" ref="D68:E68" ca="1" si="4">_xlfn.FORMULATEXT(D67)</f>
        <v>=NETWORKDAYS(D65;D66;D66)</v>
      </c>
      <c r="E68" s="28" t="str">
        <f t="shared" ca="1" si="4"/>
        <v>=NETWORKDAYS(E65;E66;D66)</v>
      </c>
    </row>
    <row r="70" spans="1:10" x14ac:dyDescent="0.3">
      <c r="A70" s="11" t="s">
        <v>24</v>
      </c>
      <c r="B70" s="2"/>
      <c r="C70" s="39" t="s">
        <v>89</v>
      </c>
      <c r="D70" s="39" t="s">
        <v>90</v>
      </c>
      <c r="E70" s="39" t="s">
        <v>91</v>
      </c>
      <c r="F70" s="39" t="s">
        <v>92</v>
      </c>
      <c r="G70" s="39" t="s">
        <v>93</v>
      </c>
      <c r="H70" s="39" t="s">
        <v>94</v>
      </c>
      <c r="I70" s="39" t="s">
        <v>95</v>
      </c>
      <c r="J70" s="39" t="s">
        <v>96</v>
      </c>
    </row>
    <row r="71" spans="1:10" x14ac:dyDescent="0.3">
      <c r="B71" s="2" t="s">
        <v>16</v>
      </c>
      <c r="C71" s="58">
        <f>12800/I58</f>
        <v>72.316384180790962</v>
      </c>
      <c r="D71" s="58">
        <f>C57/C76*C67</f>
        <v>836.36363636363637</v>
      </c>
      <c r="E71" s="58">
        <f>(12800/I58)*28</f>
        <v>2024.8587570621469</v>
      </c>
      <c r="F71" s="58">
        <f>SUM(D71:E71)</f>
        <v>2861.2223934257831</v>
      </c>
      <c r="G71" s="58">
        <f>0.33*F71</f>
        <v>944.20338983050851</v>
      </c>
      <c r="H71" s="58">
        <f>0.008*F71</f>
        <v>22.889779147406266</v>
      </c>
      <c r="I71" s="58">
        <f>0.33*E71</f>
        <v>668.20338983050851</v>
      </c>
      <c r="J71" s="58">
        <f>0.008*E71</f>
        <v>16.198870056497174</v>
      </c>
    </row>
    <row r="72" spans="1:10" x14ac:dyDescent="0.3">
      <c r="B72" s="2" t="s">
        <v>18</v>
      </c>
      <c r="C72" s="58">
        <f>9200/I58</f>
        <v>51.977401129943502</v>
      </c>
      <c r="D72" s="58">
        <f>D57/C76*D67</f>
        <v>886.36363636363649</v>
      </c>
      <c r="E72" s="58">
        <f>(9200/I58)*16</f>
        <v>831.63841807909603</v>
      </c>
      <c r="F72" s="58">
        <f>SUM(D72:E72)</f>
        <v>1718.0020544427325</v>
      </c>
      <c r="G72" s="58">
        <f t="shared" ref="G72:G74" si="5">0.33*F72</f>
        <v>566.9406779661017</v>
      </c>
      <c r="H72" s="58">
        <f t="shared" ref="H72:H74" si="6">0.008*F72</f>
        <v>13.744016435541861</v>
      </c>
      <c r="I72" s="58">
        <f t="shared" ref="I72:I74" si="7">0.33*E72</f>
        <v>274.4406779661017</v>
      </c>
      <c r="J72" s="58">
        <f t="shared" ref="J72:J74" si="8">0.008*E72</f>
        <v>6.653107344632768</v>
      </c>
    </row>
    <row r="73" spans="1:10" x14ac:dyDescent="0.3">
      <c r="B73" s="2" t="s">
        <v>20</v>
      </c>
      <c r="C73" s="58">
        <f>6700/I58</f>
        <v>37.853107344632768</v>
      </c>
      <c r="D73" s="58">
        <f>E57/C76*E67</f>
        <v>650</v>
      </c>
      <c r="E73" s="58">
        <f>(6700/I58)*20</f>
        <v>757.06214689265539</v>
      </c>
      <c r="F73" s="58">
        <f>SUM(D73:E73)</f>
        <v>1407.0621468926554</v>
      </c>
      <c r="G73" s="58">
        <f t="shared" si="5"/>
        <v>464.33050847457628</v>
      </c>
      <c r="H73" s="58">
        <f t="shared" si="6"/>
        <v>11.256497175141243</v>
      </c>
      <c r="I73" s="58">
        <f t="shared" si="7"/>
        <v>249.83050847457628</v>
      </c>
      <c r="J73" s="58">
        <f t="shared" si="8"/>
        <v>6.0564971751412431</v>
      </c>
    </row>
    <row r="74" spans="1:10" x14ac:dyDescent="0.3">
      <c r="B74" s="2" t="s">
        <v>92</v>
      </c>
      <c r="C74" s="54">
        <f>SUM(C71:C73)</f>
        <v>162.14689265536722</v>
      </c>
      <c r="D74" s="54">
        <f t="shared" ref="D74" si="9">SUM(D71:D73)</f>
        <v>2372.727272727273</v>
      </c>
      <c r="E74" s="54">
        <f>SUM(E71:E73)</f>
        <v>3613.5593220338988</v>
      </c>
      <c r="F74" s="54">
        <f>SUM(F71:F73)</f>
        <v>5986.2865947611708</v>
      </c>
      <c r="G74" s="54">
        <f t="shared" si="5"/>
        <v>1975.4745762711864</v>
      </c>
      <c r="H74" s="54">
        <f t="shared" si="6"/>
        <v>47.890292758089366</v>
      </c>
      <c r="I74" s="54">
        <f t="shared" si="7"/>
        <v>1192.4745762711866</v>
      </c>
      <c r="J74" s="54">
        <f t="shared" si="8"/>
        <v>28.908474576271189</v>
      </c>
    </row>
    <row r="75" spans="1:10" x14ac:dyDescent="0.3">
      <c r="B75" s="59">
        <v>45748</v>
      </c>
      <c r="C75" s="2"/>
      <c r="D75" s="2"/>
      <c r="E75" s="2"/>
      <c r="F75" s="2"/>
      <c r="G75" s="2"/>
      <c r="H75" s="2"/>
      <c r="I75" s="2"/>
      <c r="J75" s="2"/>
    </row>
    <row r="76" spans="1:10" x14ac:dyDescent="0.3">
      <c r="B76" s="60" t="s">
        <v>97</v>
      </c>
      <c r="C76" s="8">
        <f>NETWORKDAYS(EOMONTH(B75,-1)+1,EOMONTH(B75,0))</f>
        <v>22</v>
      </c>
      <c r="D76" s="2" t="str">
        <f ca="1">_xlfn.FORMULATEXT(C76)</f>
        <v>=NETWORKDAYS(EOMONTH(B75;-1)+1;EOMONTH(B75;0))</v>
      </c>
      <c r="E76" s="2"/>
      <c r="F76" s="2"/>
      <c r="G76" s="2"/>
      <c r="H76" s="2"/>
      <c r="I76" s="2"/>
      <c r="J76" s="2"/>
    </row>
    <row r="80" spans="1:10" x14ac:dyDescent="0.3">
      <c r="B80" t="s">
        <v>98</v>
      </c>
    </row>
    <row r="81" spans="1:6" x14ac:dyDescent="0.3">
      <c r="A81" s="11" t="s">
        <v>40</v>
      </c>
      <c r="B81" s="11" t="s">
        <v>99</v>
      </c>
    </row>
    <row r="82" spans="1:6" x14ac:dyDescent="0.3">
      <c r="B82" s="2" t="s">
        <v>100</v>
      </c>
      <c r="C82" s="2" t="s">
        <v>101</v>
      </c>
    </row>
    <row r="83" spans="1:6" x14ac:dyDescent="0.3">
      <c r="B83" s="2" t="s">
        <v>102</v>
      </c>
      <c r="C83" s="2" t="s">
        <v>103</v>
      </c>
    </row>
    <row r="84" spans="1:6" x14ac:dyDescent="0.3">
      <c r="B84" s="2" t="s">
        <v>104</v>
      </c>
      <c r="C84" s="2" t="s">
        <v>105</v>
      </c>
    </row>
    <row r="86" spans="1:6" x14ac:dyDescent="0.3">
      <c r="A86" s="11" t="s">
        <v>58</v>
      </c>
      <c r="B86" s="11" t="s">
        <v>106</v>
      </c>
    </row>
    <row r="87" spans="1:6" x14ac:dyDescent="0.3">
      <c r="B87" s="2" t="s">
        <v>107</v>
      </c>
      <c r="C87" s="2" t="s">
        <v>108</v>
      </c>
      <c r="D87" s="54">
        <f>E74</f>
        <v>3613.5593220338988</v>
      </c>
      <c r="E87" s="2" t="s">
        <v>109</v>
      </c>
      <c r="F87" s="54">
        <f>D87</f>
        <v>3613.5593220338988</v>
      </c>
    </row>
    <row r="88" spans="1:6" x14ac:dyDescent="0.3">
      <c r="B88" s="2" t="s">
        <v>107</v>
      </c>
      <c r="C88" s="2" t="s">
        <v>110</v>
      </c>
      <c r="D88" s="54">
        <f>I74</f>
        <v>1192.4745762711866</v>
      </c>
      <c r="E88" s="2" t="s">
        <v>111</v>
      </c>
      <c r="F88" s="54">
        <f t="shared" ref="F88:F89" si="10">D88</f>
        <v>1192.4745762711866</v>
      </c>
    </row>
    <row r="89" spans="1:6" x14ac:dyDescent="0.3">
      <c r="B89" s="2" t="s">
        <v>107</v>
      </c>
      <c r="C89" s="2" t="s">
        <v>112</v>
      </c>
      <c r="D89" s="54">
        <f>J74</f>
        <v>28.908474576271189</v>
      </c>
      <c r="E89" s="2" t="s">
        <v>113</v>
      </c>
      <c r="F89" s="54">
        <f t="shared" si="10"/>
        <v>28.908474576271189</v>
      </c>
    </row>
    <row r="90" spans="1:6" x14ac:dyDescent="0.3">
      <c r="B90" s="53"/>
      <c r="C90" s="53"/>
      <c r="D90" s="62"/>
      <c r="E90" s="53"/>
      <c r="F90" s="62"/>
    </row>
    <row r="91" spans="1:6" s="61" customFormat="1" ht="15" thickBot="1" x14ac:dyDescent="0.35">
      <c r="D91" s="63"/>
      <c r="F91" s="63"/>
    </row>
    <row r="93" spans="1:6" x14ac:dyDescent="0.3">
      <c r="B93" t="s">
        <v>114</v>
      </c>
    </row>
    <row r="94" spans="1:6" x14ac:dyDescent="0.3">
      <c r="B94" t="s">
        <v>115</v>
      </c>
    </row>
    <row r="95" spans="1:6" x14ac:dyDescent="0.3">
      <c r="B95" t="s">
        <v>116</v>
      </c>
      <c r="F95" t="s">
        <v>117</v>
      </c>
    </row>
    <row r="96" spans="1:6" x14ac:dyDescent="0.3">
      <c r="B96" t="s">
        <v>118</v>
      </c>
      <c r="F96" t="s">
        <v>119</v>
      </c>
    </row>
    <row r="97" spans="1:6" x14ac:dyDescent="0.3">
      <c r="B97" t="s">
        <v>120</v>
      </c>
      <c r="F97">
        <f>346+654</f>
        <v>1000</v>
      </c>
    </row>
    <row r="99" spans="1:6" x14ac:dyDescent="0.3">
      <c r="B99" s="29" t="s">
        <v>121</v>
      </c>
      <c r="C99" s="30" t="s">
        <v>122</v>
      </c>
      <c r="D99" s="30" t="s">
        <v>123</v>
      </c>
      <c r="E99" s="31" t="s">
        <v>124</v>
      </c>
      <c r="F99" s="32" t="s">
        <v>122</v>
      </c>
    </row>
    <row r="100" spans="1:6" x14ac:dyDescent="0.3">
      <c r="B100" s="55">
        <f>856.12/0.75192</f>
        <v>1138.5785721885306</v>
      </c>
      <c r="C100" s="2">
        <v>1000</v>
      </c>
      <c r="D100" s="2">
        <v>654</v>
      </c>
      <c r="E100" s="56" t="s">
        <v>125</v>
      </c>
      <c r="F100" s="56" t="s">
        <v>126</v>
      </c>
    </row>
    <row r="101" spans="1:6" x14ac:dyDescent="0.3">
      <c r="B101" s="2" t="s">
        <v>127</v>
      </c>
      <c r="C101" s="55">
        <f>Brutopalk_B*0.33</f>
        <v>375.73092882221511</v>
      </c>
      <c r="D101" s="2" t="str">
        <f ca="1">_xlfn.FORMULATEXT(SM)</f>
        <v>=Brutopalk_B*0,33</v>
      </c>
      <c r="E101" s="2"/>
      <c r="F101" s="2"/>
    </row>
    <row r="102" spans="1:6" x14ac:dyDescent="0.3">
      <c r="B102" s="2" t="s">
        <v>128</v>
      </c>
      <c r="C102" s="55">
        <f>Brutopalk_B*0.008</f>
        <v>9.1086285775082452</v>
      </c>
      <c r="D102" s="2" t="str">
        <f ca="1">_xlfn.FORMULATEXT(tööandja_TKM)</f>
        <v>=Brutopalk_B*0,008</v>
      </c>
      <c r="E102" s="2"/>
      <c r="F102" s="2"/>
    </row>
    <row r="103" spans="1:6" x14ac:dyDescent="0.3">
      <c r="B103" s="2" t="s">
        <v>129</v>
      </c>
      <c r="C103" s="55">
        <f>Brutopalk_B+SM+tööandja_TKM</f>
        <v>1523.418129588254</v>
      </c>
      <c r="D103" s="2" t="str">
        <f ca="1">_xlfn.FORMULATEXT(C103)</f>
        <v>=Brutopalk_B+SM+tööandja_TKM</v>
      </c>
      <c r="E103" s="2"/>
      <c r="F103" s="2"/>
    </row>
    <row r="105" spans="1:6" s="61" customFormat="1" ht="15" thickBot="1" x14ac:dyDescent="0.35"/>
    <row r="107" spans="1:6" x14ac:dyDescent="0.3">
      <c r="B107" t="s">
        <v>130</v>
      </c>
      <c r="C107" t="s">
        <v>131</v>
      </c>
    </row>
    <row r="108" spans="1:6" x14ac:dyDescent="0.3">
      <c r="B108" s="9" t="s">
        <v>132</v>
      </c>
    </row>
    <row r="109" spans="1:6" x14ac:dyDescent="0.3">
      <c r="A109" t="s">
        <v>133</v>
      </c>
      <c r="B109" t="s">
        <v>134</v>
      </c>
    </row>
    <row r="110" spans="1:6" x14ac:dyDescent="0.3">
      <c r="B110" t="s">
        <v>135</v>
      </c>
    </row>
    <row r="112" spans="1:6" x14ac:dyDescent="0.3">
      <c r="A112" t="s">
        <v>136</v>
      </c>
      <c r="B112" t="s">
        <v>137</v>
      </c>
    </row>
    <row r="113" spans="1:8" x14ac:dyDescent="0.3">
      <c r="B113" t="s">
        <v>138</v>
      </c>
    </row>
    <row r="115" spans="1:8" x14ac:dyDescent="0.3">
      <c r="A115" t="s">
        <v>139</v>
      </c>
      <c r="B115" t="s">
        <v>140</v>
      </c>
    </row>
    <row r="116" spans="1:8" x14ac:dyDescent="0.3">
      <c r="E116" s="48" t="s">
        <v>107</v>
      </c>
      <c r="F116" s="48"/>
      <c r="G116" s="48" t="s">
        <v>141</v>
      </c>
      <c r="H116" s="48"/>
    </row>
    <row r="117" spans="1:8" x14ac:dyDescent="0.3">
      <c r="A117" t="s">
        <v>142</v>
      </c>
      <c r="B117" t="s">
        <v>143</v>
      </c>
      <c r="D117" s="49" t="s">
        <v>133</v>
      </c>
      <c r="E117" s="5" t="s">
        <v>144</v>
      </c>
      <c r="F117" s="35">
        <v>10000</v>
      </c>
      <c r="G117" s="5" t="s">
        <v>145</v>
      </c>
      <c r="H117" s="35">
        <f>SUM(F117:F118)</f>
        <v>12200</v>
      </c>
    </row>
    <row r="118" spans="1:8" x14ac:dyDescent="0.3">
      <c r="D118" s="49"/>
      <c r="E118" s="6" t="s">
        <v>146</v>
      </c>
      <c r="F118" s="28">
        <v>2200</v>
      </c>
      <c r="G118" s="6"/>
      <c r="H118" s="28"/>
    </row>
    <row r="119" spans="1:8" x14ac:dyDescent="0.3">
      <c r="A119" t="s">
        <v>147</v>
      </c>
      <c r="B119" t="s">
        <v>148</v>
      </c>
      <c r="D119" s="49" t="s">
        <v>136</v>
      </c>
      <c r="E119" s="4" t="s">
        <v>149</v>
      </c>
      <c r="F119" s="33">
        <v>12000</v>
      </c>
      <c r="G119" s="4" t="s">
        <v>145</v>
      </c>
      <c r="H119" s="33">
        <f>SUM(F119:F120)</f>
        <v>14640</v>
      </c>
    </row>
    <row r="120" spans="1:8" x14ac:dyDescent="0.3">
      <c r="D120" s="49"/>
      <c r="E120" s="6" t="s">
        <v>146</v>
      </c>
      <c r="F120" s="28">
        <f>0.22*F119</f>
        <v>2640</v>
      </c>
      <c r="G120" s="6"/>
      <c r="H120" s="28"/>
    </row>
    <row r="121" spans="1:8" ht="57.6" x14ac:dyDescent="0.3">
      <c r="A121" t="s">
        <v>150</v>
      </c>
      <c r="B121" s="36" t="s">
        <v>151</v>
      </c>
      <c r="D121" s="49" t="s">
        <v>139</v>
      </c>
      <c r="E121" s="4" t="s">
        <v>152</v>
      </c>
      <c r="F121" s="33">
        <f>SUM(H121:H122)</f>
        <v>30500</v>
      </c>
      <c r="G121" s="4" t="s">
        <v>153</v>
      </c>
      <c r="H121" s="33">
        <v>25000</v>
      </c>
    </row>
    <row r="122" spans="1:8" x14ac:dyDescent="0.3">
      <c r="B122" t="s">
        <v>154</v>
      </c>
      <c r="D122" s="49"/>
      <c r="E122" s="6"/>
      <c r="F122" s="28"/>
      <c r="G122" s="6" t="s">
        <v>155</v>
      </c>
      <c r="H122" s="28">
        <f>0.22*H121</f>
        <v>5500</v>
      </c>
    </row>
    <row r="123" spans="1:8" x14ac:dyDescent="0.3">
      <c r="D123" s="34" t="s">
        <v>142</v>
      </c>
      <c r="E123" s="2" t="s">
        <v>155</v>
      </c>
      <c r="F123" s="37">
        <v>5600</v>
      </c>
      <c r="G123" s="2" t="s">
        <v>156</v>
      </c>
      <c r="H123" s="37">
        <v>5600</v>
      </c>
    </row>
    <row r="124" spans="1:8" x14ac:dyDescent="0.3">
      <c r="B124" s="38" t="s">
        <v>157</v>
      </c>
      <c r="C124" s="35">
        <f>6862.5/1.22</f>
        <v>5625</v>
      </c>
      <c r="D124" s="49" t="s">
        <v>147</v>
      </c>
      <c r="E124" s="4" t="s">
        <v>156</v>
      </c>
      <c r="F124" s="33">
        <v>9760</v>
      </c>
      <c r="G124" s="4" t="s">
        <v>158</v>
      </c>
      <c r="H124" s="33">
        <f>F124/1.22</f>
        <v>8000</v>
      </c>
    </row>
    <row r="125" spans="1:8" x14ac:dyDescent="0.3">
      <c r="B125" s="38" t="s">
        <v>155</v>
      </c>
      <c r="C125" s="33">
        <f>0.22*C124</f>
        <v>1237.5</v>
      </c>
      <c r="D125" s="49"/>
      <c r="E125" s="6"/>
      <c r="F125" s="28"/>
      <c r="G125" s="6" t="s">
        <v>159</v>
      </c>
      <c r="H125" s="28">
        <f>H124*0.22</f>
        <v>1760</v>
      </c>
    </row>
    <row r="126" spans="1:8" x14ac:dyDescent="0.3">
      <c r="B126" s="38" t="s">
        <v>160</v>
      </c>
      <c r="C126" s="33">
        <v>16000</v>
      </c>
      <c r="D126" s="49" t="s">
        <v>150</v>
      </c>
      <c r="E126" s="4" t="s">
        <v>161</v>
      </c>
      <c r="F126" s="33">
        <f>soetusmaksumus</f>
        <v>16000</v>
      </c>
      <c r="G126" s="4" t="s">
        <v>162</v>
      </c>
      <c r="H126" s="33">
        <f>soetusmaksumus</f>
        <v>16000</v>
      </c>
    </row>
    <row r="127" spans="1:8" x14ac:dyDescent="0.3">
      <c r="B127" s="38" t="s">
        <v>163</v>
      </c>
      <c r="C127" s="33">
        <v>12000</v>
      </c>
      <c r="D127" s="49"/>
      <c r="E127" s="4" t="s">
        <v>164</v>
      </c>
      <c r="F127" s="33">
        <f>ak._Kulum</f>
        <v>12000</v>
      </c>
      <c r="G127" s="4" t="s">
        <v>161</v>
      </c>
      <c r="H127" s="33">
        <f>ak._Kulum</f>
        <v>12000</v>
      </c>
    </row>
    <row r="128" spans="1:8" x14ac:dyDescent="0.3">
      <c r="B128" s="38" t="s">
        <v>165</v>
      </c>
      <c r="C128" s="28">
        <f>soetusmaksumus-ak._Kulum</f>
        <v>4000</v>
      </c>
      <c r="D128" s="49"/>
      <c r="E128" s="4" t="s">
        <v>156</v>
      </c>
      <c r="F128" s="33">
        <f>masina_netohind</f>
        <v>5625</v>
      </c>
      <c r="G128" s="4" t="s">
        <v>161</v>
      </c>
      <c r="H128" s="33">
        <f>masina_netohind</f>
        <v>5625</v>
      </c>
    </row>
    <row r="129" spans="2:8" x14ac:dyDescent="0.3">
      <c r="C129" t="str">
        <f ca="1">_xlfn.FORMULATEXT(põhivarade_jääkmaksumus)</f>
        <v>=soetusmaksumus-ak._Kulum</v>
      </c>
      <c r="D129" s="49"/>
      <c r="E129" s="4" t="s">
        <v>161</v>
      </c>
      <c r="F129" s="33">
        <f>masina_netohind-põhivarade_jääkmaksumus</f>
        <v>1625</v>
      </c>
      <c r="G129" s="4" t="s">
        <v>166</v>
      </c>
      <c r="H129" s="33">
        <f>F129</f>
        <v>1625</v>
      </c>
    </row>
    <row r="130" spans="2:8" x14ac:dyDescent="0.3">
      <c r="D130" s="49"/>
      <c r="E130" s="6" t="s">
        <v>156</v>
      </c>
      <c r="F130" s="28">
        <f>KM</f>
        <v>1237.5</v>
      </c>
      <c r="G130" s="6" t="s">
        <v>159</v>
      </c>
      <c r="H130" s="28">
        <f>KM</f>
        <v>1237.5</v>
      </c>
    </row>
    <row r="131" spans="2:8" x14ac:dyDescent="0.3">
      <c r="B131" s="9" t="s">
        <v>167</v>
      </c>
    </row>
    <row r="132" spans="2:8" x14ac:dyDescent="0.3">
      <c r="B132" s="11" t="s">
        <v>168</v>
      </c>
      <c r="C132" s="10">
        <f>F123+H122+H125+KM-F118-F120-H123</f>
        <v>3657.5</v>
      </c>
      <c r="D132" s="13" t="s">
        <v>169</v>
      </c>
    </row>
    <row r="134" spans="2:8" s="61" customFormat="1" ht="15" thickBot="1" x14ac:dyDescent="0.35"/>
    <row r="135" spans="2:8" x14ac:dyDescent="0.3">
      <c r="B135" t="s">
        <v>170</v>
      </c>
    </row>
    <row r="136" spans="2:8" x14ac:dyDescent="0.3">
      <c r="B136" t="s">
        <v>171</v>
      </c>
    </row>
    <row r="137" spans="2:8" x14ac:dyDescent="0.3">
      <c r="B137" t="s">
        <v>172</v>
      </c>
    </row>
    <row r="138" spans="2:8" x14ac:dyDescent="0.3">
      <c r="B138" t="s">
        <v>173</v>
      </c>
    </row>
    <row r="139" spans="2:8" x14ac:dyDescent="0.3">
      <c r="B139" t="s">
        <v>174</v>
      </c>
    </row>
    <row r="140" spans="2:8" x14ac:dyDescent="0.3">
      <c r="B140" t="s">
        <v>175</v>
      </c>
    </row>
    <row r="142" spans="2:8" x14ac:dyDescent="0.3">
      <c r="B142" s="57" t="s">
        <v>185</v>
      </c>
      <c r="C142" s="57"/>
    </row>
    <row r="143" spans="2:8" x14ac:dyDescent="0.3">
      <c r="B143" s="2" t="s">
        <v>176</v>
      </c>
      <c r="C143" s="2">
        <v>320000</v>
      </c>
    </row>
    <row r="144" spans="2:8" x14ac:dyDescent="0.3">
      <c r="B144" s="2" t="s">
        <v>177</v>
      </c>
      <c r="C144" s="2">
        <v>400</v>
      </c>
    </row>
    <row r="145" spans="2:4" x14ac:dyDescent="0.3">
      <c r="B145" s="2" t="s">
        <v>178</v>
      </c>
      <c r="C145" s="2">
        <v>0.05</v>
      </c>
    </row>
    <row r="146" spans="2:4" x14ac:dyDescent="0.3">
      <c r="B146" s="2" t="s">
        <v>179</v>
      </c>
      <c r="C146" s="2">
        <v>20</v>
      </c>
    </row>
    <row r="147" spans="2:4" x14ac:dyDescent="0.3">
      <c r="B147" s="2" t="s">
        <v>180</v>
      </c>
      <c r="C147" s="2">
        <v>50</v>
      </c>
    </row>
    <row r="149" spans="2:4" x14ac:dyDescent="0.3">
      <c r="B149" s="2">
        <f>kauba_müük/kaubaühiku_hind</f>
        <v>800</v>
      </c>
      <c r="C149" s="2" t="s">
        <v>181</v>
      </c>
      <c r="D149" t="str">
        <f ca="1">_xlfn.FORMULATEXT(B149)</f>
        <v>=kauba_müük/kaubaühiku_hind</v>
      </c>
    </row>
    <row r="150" spans="2:4" x14ac:dyDescent="0.3">
      <c r="B150" s="2">
        <f>garantiieraldise_osa_müügitulust*kauba_müük</f>
        <v>16000</v>
      </c>
      <c r="C150" s="2" t="s">
        <v>182</v>
      </c>
      <c r="D150" t="str">
        <f ca="1">_xlfn.FORMULATEXT(eraldis)</f>
        <v>=garantiieraldise_osa_müügitulust*kauba_müük</v>
      </c>
    </row>
    <row r="151" spans="2:4" x14ac:dyDescent="0.3">
      <c r="B151" s="2">
        <f>remonditud_toodete_arv*remondikulu_toote_kohta__€</f>
        <v>1000</v>
      </c>
      <c r="C151" s="2" t="s">
        <v>183</v>
      </c>
      <c r="D151" t="str">
        <f ca="1">_xlfn.FORMULATEXT(remondikulud)</f>
        <v>=remonditud_toodete_arv*remondikulu_toote_kohta__€</v>
      </c>
    </row>
    <row r="152" spans="2:4" x14ac:dyDescent="0.3">
      <c r="B152" s="2">
        <f>eraldis-remondikulud</f>
        <v>15000</v>
      </c>
      <c r="C152" s="2" t="s">
        <v>184</v>
      </c>
      <c r="D152" t="str">
        <f ca="1">_xlfn.FORMULATEXT(B152)</f>
        <v>=eraldis-remondikulud</v>
      </c>
    </row>
  </sheetData>
  <mergeCells count="12">
    <mergeCell ref="B142:C142"/>
    <mergeCell ref="B50:E50"/>
    <mergeCell ref="D119:D120"/>
    <mergeCell ref="D121:D122"/>
    <mergeCell ref="D124:D125"/>
    <mergeCell ref="D126:D130"/>
    <mergeCell ref="D16:F16"/>
    <mergeCell ref="H16:I16"/>
    <mergeCell ref="B65:B66"/>
    <mergeCell ref="E116:F116"/>
    <mergeCell ref="G116:H116"/>
    <mergeCell ref="D117:D118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15</vt:i4>
      </vt:variant>
    </vt:vector>
  </HeadingPairs>
  <TitlesOfParts>
    <vt:vector size="16" baseType="lpstr">
      <vt:lpstr>Sheet1</vt:lpstr>
      <vt:lpstr>ak._Kulum</vt:lpstr>
      <vt:lpstr>Brutopalk_B</vt:lpstr>
      <vt:lpstr>eraldis</vt:lpstr>
      <vt:lpstr>garantiieraldise_osa_müügitulust</vt:lpstr>
      <vt:lpstr>kauba_müük</vt:lpstr>
      <vt:lpstr>kaubaühiku_hind</vt:lpstr>
      <vt:lpstr>KM</vt:lpstr>
      <vt:lpstr>masina_netohind</vt:lpstr>
      <vt:lpstr>põhivarade_jääkmaksumus</vt:lpstr>
      <vt:lpstr>remondikulu_toote_kohta__€</vt:lpstr>
      <vt:lpstr>remondikulud</vt:lpstr>
      <vt:lpstr>remonditud_toodete_arv</vt:lpstr>
      <vt:lpstr>SM</vt:lpstr>
      <vt:lpstr>soetusmaksumus</vt:lpstr>
      <vt:lpstr>tööandja_TKM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Erik Lüllman</dc:creator>
  <cp:lastModifiedBy>markus Lüllman</cp:lastModifiedBy>
  <dcterms:created xsi:type="dcterms:W3CDTF">2026-07-13T14:30:04Z</dcterms:created>
  <dcterms:modified xsi:type="dcterms:W3CDTF">2026-07-17T16:57:30Z</dcterms:modified>
</cp:coreProperties>
</file>