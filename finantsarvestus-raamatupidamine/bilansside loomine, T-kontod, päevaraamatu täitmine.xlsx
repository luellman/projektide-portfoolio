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finantsarvestus-raamatupidamine/"/>
    </mc:Choice>
  </mc:AlternateContent>
  <xr:revisionPtr revIDLastSave="21" documentId="8_{3F89C4DE-4D4F-4E70-AF7D-91FCB422BA73}" xr6:coauthVersionLast="47" xr6:coauthVersionMax="47" xr10:uidLastSave="{88DED6D2-554E-4F1E-8921-B2AF7C6A659E}"/>
  <bookViews>
    <workbookView xWindow="-108" yWindow="-108" windowWidth="23256" windowHeight="12456" activeTab="4" xr2:uid="{0881778D-A4BA-4CE7-A8C0-E51E09492F35}"/>
  </bookViews>
  <sheets>
    <sheet name="Algbilanss" sheetId="1" r:id="rId1"/>
    <sheet name="T-kontod (Pearaamat)" sheetId="2" r:id="rId2"/>
    <sheet name="Lõpp-bilanss" sheetId="3" r:id="rId3"/>
    <sheet name="Päevaraamat" sheetId="4" r:id="rId4"/>
    <sheet name="Käibeandmi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5" l="1"/>
  <c r="H13" i="5"/>
  <c r="G13" i="5"/>
  <c r="F13" i="5"/>
  <c r="E13" i="5"/>
  <c r="D13" i="5"/>
  <c r="F25" i="4"/>
  <c r="E25" i="4"/>
  <c r="B35" i="3"/>
  <c r="D34" i="3"/>
  <c r="B34" i="3"/>
  <c r="D25" i="3"/>
  <c r="D26" i="3" s="1"/>
  <c r="D16" i="3"/>
  <c r="B16" i="3"/>
  <c r="B34" i="1"/>
  <c r="B35" i="1" s="1"/>
  <c r="D28" i="1"/>
  <c r="D34" i="1" s="1"/>
  <c r="C28" i="1"/>
  <c r="D25" i="1"/>
  <c r="D26" i="1" s="1"/>
  <c r="D16" i="1"/>
  <c r="B16" i="1"/>
  <c r="D35" i="3" l="1"/>
  <c r="D35" i="1"/>
</calcChain>
</file>

<file path=xl/sharedStrings.xml><?xml version="1.0" encoding="utf-8"?>
<sst xmlns="http://schemas.openxmlformats.org/spreadsheetml/2006/main" count="232" uniqueCount="98">
  <si>
    <t xml:space="preserve"> Bilanss </t>
  </si>
  <si>
    <t>(eurodes)</t>
  </si>
  <si>
    <t>1. Koostada algbilanss 1. jaanuariks 2xxx a. esitatud kontojääkide alusel.</t>
  </si>
  <si>
    <t>AKTIVA (varad)</t>
  </si>
  <si>
    <t>Summa</t>
  </si>
  <si>
    <t>PASSIVA (kohustised ja omakapital)</t>
  </si>
  <si>
    <t>2. Algbilansi kirjendite alusel avada kontod pearaamatus. Kontodele kirjendada algsaldod.</t>
  </si>
  <si>
    <t>Käibevarad</t>
  </si>
  <si>
    <t>Kohustised</t>
  </si>
  <si>
    <t>3. Majandustehingute kohta koostada päevaraamatus lausendid.</t>
  </si>
  <si>
    <t>1110 Kassa</t>
  </si>
  <si>
    <t>Lühiajalised kohustised</t>
  </si>
  <si>
    <t>4. Lausendite põhjal kirjendada majandustehingud kontodesse. (Näidata ära ka majandustehingute järjekorranumbrid.)</t>
  </si>
  <si>
    <t>1120 Arvelduskonto</t>
  </si>
  <si>
    <t>5. Perioodi lõpul tuua välja kontokäivete kokkuvõtted ning lõppsaldod.</t>
  </si>
  <si>
    <t>6. Kontokäivete kokkuvõtete ja lõppsaldode põhjal koostada käibeandmik jaanuari kohta ja lõppbilanss 31. jaanuariks.</t>
  </si>
  <si>
    <t>Kontode algsaldod 1. jaanuariks 2xxx a. :</t>
  </si>
  <si>
    <t>Kasutatav kontoplaan:</t>
  </si>
  <si>
    <t>tuh.€</t>
  </si>
  <si>
    <t>Arvelduskonto</t>
  </si>
  <si>
    <t>Aktsiakapital</t>
  </si>
  <si>
    <t>1310 Ostjate tasumata arved</t>
  </si>
  <si>
    <t>Kassa</t>
  </si>
  <si>
    <t>1440 Aruandvad isikud</t>
  </si>
  <si>
    <t>Pikaajaline pangalaen</t>
  </si>
  <si>
    <t>1710 Tooraine ja materjal</t>
  </si>
  <si>
    <t>Käibevarad kokku</t>
  </si>
  <si>
    <t>Lühiajalised kohustised kokku</t>
  </si>
  <si>
    <t>1720 Lõpetamata toodang</t>
  </si>
  <si>
    <t>Põhivarad</t>
  </si>
  <si>
    <t>Pikaajalised kohustised</t>
  </si>
  <si>
    <t>Majanduslikud toimingud jaanuaris 2xxx a.</t>
  </si>
  <si>
    <t>1920 Masinad ja seadmed</t>
  </si>
  <si>
    <t>2180 pikaajaline pangalaen</t>
  </si>
  <si>
    <t>2112 Lühiajaline pangalaen</t>
  </si>
  <si>
    <t>nr</t>
  </si>
  <si>
    <t>Kuupäev</t>
  </si>
  <si>
    <t>Dokumendi nimetus ja sisu</t>
  </si>
  <si>
    <t>Üldsumma</t>
  </si>
  <si>
    <t>2131 Võlad tarnijatele</t>
  </si>
  <si>
    <t>1.</t>
  </si>
  <si>
    <t>02.01.</t>
  </si>
  <si>
    <t>Osteti seadmeid arve nr 12 alusel. Arve tasumata.</t>
  </si>
  <si>
    <t>2161 Võlad töövõtjatele</t>
  </si>
  <si>
    <t>2.</t>
  </si>
  <si>
    <t>05.01.</t>
  </si>
  <si>
    <t>Sularaha eest osteti materjali, tšekk nr 9.</t>
  </si>
  <si>
    <t>2163 Dividendivõlad</t>
  </si>
  <si>
    <t>3.</t>
  </si>
  <si>
    <t>31.01.</t>
  </si>
  <si>
    <t>Pangaülekandega tasuti seadmete ostuarve tarnijaile (arve nr 12).</t>
  </si>
  <si>
    <t>2221 Aktsiakapital</t>
  </si>
  <si>
    <t>4.</t>
  </si>
  <si>
    <t>Vastavalt pikaajalisele laenugraafikule tuleb järgmisel majandusaastal tasuda laenu 250 000 eurot.</t>
  </si>
  <si>
    <t>4001 Materjalikulu tootmises</t>
  </si>
  <si>
    <t>Pikaajalised kohustised kokku</t>
  </si>
  <si>
    <t>Kohustised kokku</t>
  </si>
  <si>
    <t>Omakapital</t>
  </si>
  <si>
    <t>Põhivarad kokku</t>
  </si>
  <si>
    <t>Omakapital kokku</t>
  </si>
  <si>
    <t>AKTIVA (VARAD) KOKKU</t>
  </si>
  <si>
    <t>PASSIVA KOKKU</t>
  </si>
  <si>
    <t>PEARAAMAT</t>
  </si>
  <si>
    <t>D</t>
  </si>
  <si>
    <t>kassa</t>
  </si>
  <si>
    <t>K</t>
  </si>
  <si>
    <t>s0</t>
  </si>
  <si>
    <t>S1</t>
  </si>
  <si>
    <t>1120 arvelduskonto</t>
  </si>
  <si>
    <t>2221 aktsiakapital</t>
  </si>
  <si>
    <t>S0</t>
  </si>
  <si>
    <t>1920 masinad ja seadmed</t>
  </si>
  <si>
    <t>2131 võlad tarnijatele</t>
  </si>
  <si>
    <t>1710 tooraine ja materjalid</t>
  </si>
  <si>
    <t>2112 lühiajaline pangalaen</t>
  </si>
  <si>
    <t>PÄEVARAAMAT</t>
  </si>
  <si>
    <t>Jrk nr</t>
  </si>
  <si>
    <t>Raamatupidamiskande sisu</t>
  </si>
  <si>
    <t xml:space="preserve">Konto </t>
  </si>
  <si>
    <t>DEEBET</t>
  </si>
  <si>
    <t>KREEDIT</t>
  </si>
  <si>
    <t>kokku</t>
  </si>
  <si>
    <t>Käibeandmik</t>
  </si>
  <si>
    <t>Kontod</t>
  </si>
  <si>
    <t>Saldo 01.01</t>
  </si>
  <si>
    <t>Käibed jaanuaris</t>
  </si>
  <si>
    <t>Saldo 31.01</t>
  </si>
  <si>
    <t xml:space="preserve">Jrk. nr. </t>
  </si>
  <si>
    <t xml:space="preserve">Konto nr. </t>
  </si>
  <si>
    <t>Konto nimetus</t>
  </si>
  <si>
    <t>masinad ja seadmed</t>
  </si>
  <si>
    <t>võlad tarnijatele</t>
  </si>
  <si>
    <t>tooraine ja materjal</t>
  </si>
  <si>
    <t xml:space="preserve">arvelduskonto </t>
  </si>
  <si>
    <t>pikaajaline pangalaen</t>
  </si>
  <si>
    <t>lühiajaline pangalaen</t>
  </si>
  <si>
    <t>KOKKU</t>
  </si>
  <si>
    <t>kontod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</si>
</sst>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86"/>
      <scheme val="minor"/>
    </font>
    <font>
      <b/>
      <sz val="14"/>
      <name val="Times New Roman"/>
      <family val="1"/>
      <charset val="186"/>
    </font>
    <font>
      <sz val="12"/>
      <name val="Times New Roman"/>
      <family val="1"/>
      <charset val="186"/>
    </font>
    <font>
      <b/>
      <i/>
      <sz val="14"/>
      <name val="Comic Sans MS"/>
      <family val="4"/>
    </font>
    <font>
      <b/>
      <i/>
      <sz val="12"/>
      <name val="Times New Roman"/>
      <family val="1"/>
      <charset val="186"/>
    </font>
    <font>
      <i/>
      <sz val="12"/>
      <name val="Times New Roman"/>
      <family val="1"/>
      <charset val="186"/>
    </font>
    <font>
      <i/>
      <sz val="12"/>
      <name val="Times New Roman"/>
      <family val="1"/>
    </font>
    <font>
      <b/>
      <i/>
      <sz val="12"/>
      <name val="Comic Sans MS"/>
      <family val="4"/>
    </font>
    <font>
      <sz val="10"/>
      <name val="Arial"/>
      <family val="2"/>
    </font>
    <font>
      <b/>
      <sz val="10"/>
      <name val="Times New Roman"/>
      <family val="1"/>
      <charset val="186"/>
    </font>
    <font>
      <b/>
      <sz val="11"/>
      <color theme="1"/>
      <name val="Times New Roman"/>
      <family val="1"/>
      <charset val="186"/>
    </font>
    <font>
      <sz val="12"/>
      <color rgb="FF000000"/>
      <name val="Times New Roman"/>
      <family val="1"/>
      <charset val="186"/>
    </font>
    <font>
      <b/>
      <sz val="16"/>
      <color theme="1"/>
      <name val="Calibri"/>
      <family val="2"/>
      <charset val="186"/>
      <scheme val="minor"/>
    </font>
    <font>
      <sz val="13"/>
      <color theme="1"/>
      <name val="Calibri"/>
      <family val="2"/>
      <charset val="186"/>
      <scheme val="minor"/>
    </font>
    <font>
      <b/>
      <sz val="13"/>
      <color theme="1"/>
      <name val="Calibri"/>
      <family val="2"/>
      <charset val="186"/>
      <scheme val="minor"/>
    </font>
    <font>
      <b/>
      <i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0" fillId="2" borderId="0" xfId="0" applyFill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8" fillId="2" borderId="7" xfId="0" applyFont="1" applyFill="1" applyBorder="1"/>
    <xf numFmtId="0" fontId="8" fillId="2" borderId="7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/>
    <xf numFmtId="0" fontId="8" fillId="0" borderId="7" xfId="0" applyFont="1" applyBorder="1" applyAlignment="1">
      <alignment horizontal="right"/>
    </xf>
    <xf numFmtId="0" fontId="8" fillId="0" borderId="0" xfId="0" applyFont="1"/>
    <xf numFmtId="0" fontId="8" fillId="0" borderId="8" xfId="0" applyFont="1" applyBorder="1"/>
    <xf numFmtId="0" fontId="8" fillId="0" borderId="9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5" xfId="0" applyFont="1" applyBorder="1"/>
    <xf numFmtId="0" fontId="8" fillId="3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3" fontId="2" fillId="0" borderId="5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3" fillId="0" borderId="0" xfId="0" applyFont="1"/>
    <xf numFmtId="0" fontId="13" fillId="0" borderId="21" xfId="0" applyFont="1" applyBorder="1" applyAlignment="1">
      <alignment wrapText="1"/>
    </xf>
    <xf numFmtId="0" fontId="13" fillId="0" borderId="2" xfId="0" applyFont="1" applyBorder="1"/>
    <xf numFmtId="0" fontId="13" fillId="0" borderId="29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5" xfId="0" applyFont="1" applyBorder="1"/>
    <xf numFmtId="0" fontId="13" fillId="0" borderId="1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/>
    <xf numFmtId="0" fontId="13" fillId="0" borderId="1" xfId="0" applyFont="1" applyBorder="1"/>
    <xf numFmtId="0" fontId="13" fillId="0" borderId="30" xfId="0" applyFont="1" applyBorder="1"/>
    <xf numFmtId="0" fontId="13" fillId="0" borderId="22" xfId="0" applyFont="1" applyBorder="1"/>
    <xf numFmtId="0" fontId="13" fillId="3" borderId="31" xfId="0" applyFont="1" applyFill="1" applyBorder="1"/>
    <xf numFmtId="0" fontId="13" fillId="3" borderId="1" xfId="0" applyFont="1" applyFill="1" applyBorder="1"/>
    <xf numFmtId="0" fontId="2" fillId="0" borderId="1" xfId="0" applyFont="1" applyBorder="1" applyAlignment="1">
      <alignment horizontal="right" vertical="center"/>
    </xf>
    <xf numFmtId="0" fontId="13" fillId="0" borderId="32" xfId="0" applyFont="1" applyBorder="1"/>
    <xf numFmtId="0" fontId="13" fillId="0" borderId="33" xfId="0" applyFont="1" applyBorder="1"/>
    <xf numFmtId="0" fontId="15" fillId="0" borderId="33" xfId="0" applyFont="1" applyBorder="1"/>
    <xf numFmtId="0" fontId="8" fillId="0" borderId="14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2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10" fillId="0" borderId="22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9EAF-4309-40B5-AF8B-C2D9DA04B88F}">
  <dimension ref="A1:M35"/>
  <sheetViews>
    <sheetView topLeftCell="A2" zoomScale="61" workbookViewId="0">
      <selection activeCell="F18" sqref="F18"/>
    </sheetView>
  </sheetViews>
  <sheetFormatPr defaultRowHeight="14.4" x14ac:dyDescent="0.3"/>
  <cols>
    <col min="1" max="1" width="33.44140625" customWidth="1"/>
    <col min="2" max="2" width="9" bestFit="1" customWidth="1"/>
    <col min="3" max="3" width="36.44140625" customWidth="1"/>
    <col min="7" max="7" width="8.109375" customWidth="1"/>
    <col min="8" max="8" width="28.21875" customWidth="1"/>
    <col min="257" max="257" width="33.44140625" customWidth="1"/>
    <col min="258" max="258" width="9" bestFit="1" customWidth="1"/>
    <col min="259" max="259" width="36.44140625" customWidth="1"/>
    <col min="513" max="513" width="33.44140625" customWidth="1"/>
    <col min="514" max="514" width="9" bestFit="1" customWidth="1"/>
    <col min="515" max="515" width="36.44140625" customWidth="1"/>
    <col min="769" max="769" width="33.44140625" customWidth="1"/>
    <col min="770" max="770" width="9" bestFit="1" customWidth="1"/>
    <col min="771" max="771" width="36.44140625" customWidth="1"/>
    <col min="1025" max="1025" width="33.44140625" customWidth="1"/>
    <col min="1026" max="1026" width="9" bestFit="1" customWidth="1"/>
    <col min="1027" max="1027" width="36.44140625" customWidth="1"/>
    <col min="1281" max="1281" width="33.44140625" customWidth="1"/>
    <col min="1282" max="1282" width="9" bestFit="1" customWidth="1"/>
    <col min="1283" max="1283" width="36.44140625" customWidth="1"/>
    <col min="1537" max="1537" width="33.44140625" customWidth="1"/>
    <col min="1538" max="1538" width="9" bestFit="1" customWidth="1"/>
    <col min="1539" max="1539" width="36.44140625" customWidth="1"/>
    <col min="1793" max="1793" width="33.44140625" customWidth="1"/>
    <col min="1794" max="1794" width="9" bestFit="1" customWidth="1"/>
    <col min="1795" max="1795" width="36.44140625" customWidth="1"/>
    <col min="2049" max="2049" width="33.44140625" customWidth="1"/>
    <col min="2050" max="2050" width="9" bestFit="1" customWidth="1"/>
    <col min="2051" max="2051" width="36.44140625" customWidth="1"/>
    <col min="2305" max="2305" width="33.44140625" customWidth="1"/>
    <col min="2306" max="2306" width="9" bestFit="1" customWidth="1"/>
    <col min="2307" max="2307" width="36.44140625" customWidth="1"/>
    <col min="2561" max="2561" width="33.44140625" customWidth="1"/>
    <col min="2562" max="2562" width="9" bestFit="1" customWidth="1"/>
    <col min="2563" max="2563" width="36.44140625" customWidth="1"/>
    <col min="2817" max="2817" width="33.44140625" customWidth="1"/>
    <col min="2818" max="2818" width="9" bestFit="1" customWidth="1"/>
    <col min="2819" max="2819" width="36.44140625" customWidth="1"/>
    <col min="3073" max="3073" width="33.44140625" customWidth="1"/>
    <col min="3074" max="3074" width="9" bestFit="1" customWidth="1"/>
    <col min="3075" max="3075" width="36.44140625" customWidth="1"/>
    <col min="3329" max="3329" width="33.44140625" customWidth="1"/>
    <col min="3330" max="3330" width="9" bestFit="1" customWidth="1"/>
    <col min="3331" max="3331" width="36.44140625" customWidth="1"/>
    <col min="3585" max="3585" width="33.44140625" customWidth="1"/>
    <col min="3586" max="3586" width="9" bestFit="1" customWidth="1"/>
    <col min="3587" max="3587" width="36.44140625" customWidth="1"/>
    <col min="3841" max="3841" width="33.44140625" customWidth="1"/>
    <col min="3842" max="3842" width="9" bestFit="1" customWidth="1"/>
    <col min="3843" max="3843" width="36.44140625" customWidth="1"/>
    <col min="4097" max="4097" width="33.44140625" customWidth="1"/>
    <col min="4098" max="4098" width="9" bestFit="1" customWidth="1"/>
    <col min="4099" max="4099" width="36.44140625" customWidth="1"/>
    <col min="4353" max="4353" width="33.44140625" customWidth="1"/>
    <col min="4354" max="4354" width="9" bestFit="1" customWidth="1"/>
    <col min="4355" max="4355" width="36.44140625" customWidth="1"/>
    <col min="4609" max="4609" width="33.44140625" customWidth="1"/>
    <col min="4610" max="4610" width="9" bestFit="1" customWidth="1"/>
    <col min="4611" max="4611" width="36.44140625" customWidth="1"/>
    <col min="4865" max="4865" width="33.44140625" customWidth="1"/>
    <col min="4866" max="4866" width="9" bestFit="1" customWidth="1"/>
    <col min="4867" max="4867" width="36.44140625" customWidth="1"/>
    <col min="5121" max="5121" width="33.44140625" customWidth="1"/>
    <col min="5122" max="5122" width="9" bestFit="1" customWidth="1"/>
    <col min="5123" max="5123" width="36.44140625" customWidth="1"/>
    <col min="5377" max="5377" width="33.44140625" customWidth="1"/>
    <col min="5378" max="5378" width="9" bestFit="1" customWidth="1"/>
    <col min="5379" max="5379" width="36.44140625" customWidth="1"/>
    <col min="5633" max="5633" width="33.44140625" customWidth="1"/>
    <col min="5634" max="5634" width="9" bestFit="1" customWidth="1"/>
    <col min="5635" max="5635" width="36.44140625" customWidth="1"/>
    <col min="5889" max="5889" width="33.44140625" customWidth="1"/>
    <col min="5890" max="5890" width="9" bestFit="1" customWidth="1"/>
    <col min="5891" max="5891" width="36.44140625" customWidth="1"/>
    <col min="6145" max="6145" width="33.44140625" customWidth="1"/>
    <col min="6146" max="6146" width="9" bestFit="1" customWidth="1"/>
    <col min="6147" max="6147" width="36.44140625" customWidth="1"/>
    <col min="6401" max="6401" width="33.44140625" customWidth="1"/>
    <col min="6402" max="6402" width="9" bestFit="1" customWidth="1"/>
    <col min="6403" max="6403" width="36.44140625" customWidth="1"/>
    <col min="6657" max="6657" width="33.44140625" customWidth="1"/>
    <col min="6658" max="6658" width="9" bestFit="1" customWidth="1"/>
    <col min="6659" max="6659" width="36.44140625" customWidth="1"/>
    <col min="6913" max="6913" width="33.44140625" customWidth="1"/>
    <col min="6914" max="6914" width="9" bestFit="1" customWidth="1"/>
    <col min="6915" max="6915" width="36.44140625" customWidth="1"/>
    <col min="7169" max="7169" width="33.44140625" customWidth="1"/>
    <col min="7170" max="7170" width="9" bestFit="1" customWidth="1"/>
    <col min="7171" max="7171" width="36.44140625" customWidth="1"/>
    <col min="7425" max="7425" width="33.44140625" customWidth="1"/>
    <col min="7426" max="7426" width="9" bestFit="1" customWidth="1"/>
    <col min="7427" max="7427" width="36.44140625" customWidth="1"/>
    <col min="7681" max="7681" width="33.44140625" customWidth="1"/>
    <col min="7682" max="7682" width="9" bestFit="1" customWidth="1"/>
    <col min="7683" max="7683" width="36.44140625" customWidth="1"/>
    <col min="7937" max="7937" width="33.44140625" customWidth="1"/>
    <col min="7938" max="7938" width="9" bestFit="1" customWidth="1"/>
    <col min="7939" max="7939" width="36.44140625" customWidth="1"/>
    <col min="8193" max="8193" width="33.44140625" customWidth="1"/>
    <col min="8194" max="8194" width="9" bestFit="1" customWidth="1"/>
    <col min="8195" max="8195" width="36.44140625" customWidth="1"/>
    <col min="8449" max="8449" width="33.44140625" customWidth="1"/>
    <col min="8450" max="8450" width="9" bestFit="1" customWidth="1"/>
    <col min="8451" max="8451" width="36.44140625" customWidth="1"/>
    <col min="8705" max="8705" width="33.44140625" customWidth="1"/>
    <col min="8706" max="8706" width="9" bestFit="1" customWidth="1"/>
    <col min="8707" max="8707" width="36.44140625" customWidth="1"/>
    <col min="8961" max="8961" width="33.44140625" customWidth="1"/>
    <col min="8962" max="8962" width="9" bestFit="1" customWidth="1"/>
    <col min="8963" max="8963" width="36.44140625" customWidth="1"/>
    <col min="9217" max="9217" width="33.44140625" customWidth="1"/>
    <col min="9218" max="9218" width="9" bestFit="1" customWidth="1"/>
    <col min="9219" max="9219" width="36.44140625" customWidth="1"/>
    <col min="9473" max="9473" width="33.44140625" customWidth="1"/>
    <col min="9474" max="9474" width="9" bestFit="1" customWidth="1"/>
    <col min="9475" max="9475" width="36.44140625" customWidth="1"/>
    <col min="9729" max="9729" width="33.44140625" customWidth="1"/>
    <col min="9730" max="9730" width="9" bestFit="1" customWidth="1"/>
    <col min="9731" max="9731" width="36.44140625" customWidth="1"/>
    <col min="9985" max="9985" width="33.44140625" customWidth="1"/>
    <col min="9986" max="9986" width="9" bestFit="1" customWidth="1"/>
    <col min="9987" max="9987" width="36.44140625" customWidth="1"/>
    <col min="10241" max="10241" width="33.44140625" customWidth="1"/>
    <col min="10242" max="10242" width="9" bestFit="1" customWidth="1"/>
    <col min="10243" max="10243" width="36.44140625" customWidth="1"/>
    <col min="10497" max="10497" width="33.44140625" customWidth="1"/>
    <col min="10498" max="10498" width="9" bestFit="1" customWidth="1"/>
    <col min="10499" max="10499" width="36.44140625" customWidth="1"/>
    <col min="10753" max="10753" width="33.44140625" customWidth="1"/>
    <col min="10754" max="10754" width="9" bestFit="1" customWidth="1"/>
    <col min="10755" max="10755" width="36.44140625" customWidth="1"/>
    <col min="11009" max="11009" width="33.44140625" customWidth="1"/>
    <col min="11010" max="11010" width="9" bestFit="1" customWidth="1"/>
    <col min="11011" max="11011" width="36.44140625" customWidth="1"/>
    <col min="11265" max="11265" width="33.44140625" customWidth="1"/>
    <col min="11266" max="11266" width="9" bestFit="1" customWidth="1"/>
    <col min="11267" max="11267" width="36.44140625" customWidth="1"/>
    <col min="11521" max="11521" width="33.44140625" customWidth="1"/>
    <col min="11522" max="11522" width="9" bestFit="1" customWidth="1"/>
    <col min="11523" max="11523" width="36.44140625" customWidth="1"/>
    <col min="11777" max="11777" width="33.44140625" customWidth="1"/>
    <col min="11778" max="11778" width="9" bestFit="1" customWidth="1"/>
    <col min="11779" max="11779" width="36.44140625" customWidth="1"/>
    <col min="12033" max="12033" width="33.44140625" customWidth="1"/>
    <col min="12034" max="12034" width="9" bestFit="1" customWidth="1"/>
    <col min="12035" max="12035" width="36.44140625" customWidth="1"/>
    <col min="12289" max="12289" width="33.44140625" customWidth="1"/>
    <col min="12290" max="12290" width="9" bestFit="1" customWidth="1"/>
    <col min="12291" max="12291" width="36.44140625" customWidth="1"/>
    <col min="12545" max="12545" width="33.44140625" customWidth="1"/>
    <col min="12546" max="12546" width="9" bestFit="1" customWidth="1"/>
    <col min="12547" max="12547" width="36.44140625" customWidth="1"/>
    <col min="12801" max="12801" width="33.44140625" customWidth="1"/>
    <col min="12802" max="12802" width="9" bestFit="1" customWidth="1"/>
    <col min="12803" max="12803" width="36.44140625" customWidth="1"/>
    <col min="13057" max="13057" width="33.44140625" customWidth="1"/>
    <col min="13058" max="13058" width="9" bestFit="1" customWidth="1"/>
    <col min="13059" max="13059" width="36.44140625" customWidth="1"/>
    <col min="13313" max="13313" width="33.44140625" customWidth="1"/>
    <col min="13314" max="13314" width="9" bestFit="1" customWidth="1"/>
    <col min="13315" max="13315" width="36.44140625" customWidth="1"/>
    <col min="13569" max="13569" width="33.44140625" customWidth="1"/>
    <col min="13570" max="13570" width="9" bestFit="1" customWidth="1"/>
    <col min="13571" max="13571" width="36.44140625" customWidth="1"/>
    <col min="13825" max="13825" width="33.44140625" customWidth="1"/>
    <col min="13826" max="13826" width="9" bestFit="1" customWidth="1"/>
    <col min="13827" max="13827" width="36.44140625" customWidth="1"/>
    <col min="14081" max="14081" width="33.44140625" customWidth="1"/>
    <col min="14082" max="14082" width="9" bestFit="1" customWidth="1"/>
    <col min="14083" max="14083" width="36.44140625" customWidth="1"/>
    <col min="14337" max="14337" width="33.44140625" customWidth="1"/>
    <col min="14338" max="14338" width="9" bestFit="1" customWidth="1"/>
    <col min="14339" max="14339" width="36.44140625" customWidth="1"/>
    <col min="14593" max="14593" width="33.44140625" customWidth="1"/>
    <col min="14594" max="14594" width="9" bestFit="1" customWidth="1"/>
    <col min="14595" max="14595" width="36.44140625" customWidth="1"/>
    <col min="14849" max="14849" width="33.44140625" customWidth="1"/>
    <col min="14850" max="14850" width="9" bestFit="1" customWidth="1"/>
    <col min="14851" max="14851" width="36.44140625" customWidth="1"/>
    <col min="15105" max="15105" width="33.44140625" customWidth="1"/>
    <col min="15106" max="15106" width="9" bestFit="1" customWidth="1"/>
    <col min="15107" max="15107" width="36.44140625" customWidth="1"/>
    <col min="15361" max="15361" width="33.44140625" customWidth="1"/>
    <col min="15362" max="15362" width="9" bestFit="1" customWidth="1"/>
    <col min="15363" max="15363" width="36.44140625" customWidth="1"/>
    <col min="15617" max="15617" width="33.44140625" customWidth="1"/>
    <col min="15618" max="15618" width="9" bestFit="1" customWidth="1"/>
    <col min="15619" max="15619" width="36.44140625" customWidth="1"/>
    <col min="15873" max="15873" width="33.44140625" customWidth="1"/>
    <col min="15874" max="15874" width="9" bestFit="1" customWidth="1"/>
    <col min="15875" max="15875" width="36.44140625" customWidth="1"/>
    <col min="16129" max="16129" width="33.44140625" customWidth="1"/>
    <col min="16130" max="16130" width="9" bestFit="1" customWidth="1"/>
    <col min="16131" max="16131" width="36.44140625" customWidth="1"/>
  </cols>
  <sheetData>
    <row r="1" spans="1:13" ht="17.399999999999999" x14ac:dyDescent="0.3">
      <c r="A1" s="1" t="s">
        <v>0</v>
      </c>
    </row>
    <row r="2" spans="1:13" ht="21" x14ac:dyDescent="0.5">
      <c r="A2" s="2" t="s">
        <v>1</v>
      </c>
      <c r="B2" s="3"/>
    </row>
    <row r="3" spans="1:13" ht="21" x14ac:dyDescent="0.5">
      <c r="A3" s="3"/>
      <c r="B3" s="3"/>
      <c r="F3" t="s">
        <v>2</v>
      </c>
    </row>
    <row r="4" spans="1:13" ht="16.2" x14ac:dyDescent="0.3">
      <c r="A4" s="4" t="s">
        <v>3</v>
      </c>
      <c r="B4" s="4" t="s">
        <v>4</v>
      </c>
      <c r="C4" s="4" t="s">
        <v>5</v>
      </c>
      <c r="D4" s="4" t="s">
        <v>4</v>
      </c>
      <c r="F4" t="s">
        <v>6</v>
      </c>
    </row>
    <row r="5" spans="1:13" ht="16.2" x14ac:dyDescent="0.3">
      <c r="A5" s="4" t="s">
        <v>7</v>
      </c>
      <c r="B5" s="4"/>
      <c r="C5" s="4" t="s">
        <v>8</v>
      </c>
      <c r="D5" s="4"/>
      <c r="F5" t="s">
        <v>9</v>
      </c>
    </row>
    <row r="6" spans="1:13" ht="16.2" x14ac:dyDescent="0.3">
      <c r="A6" t="s">
        <v>10</v>
      </c>
      <c r="B6" s="4">
        <v>50</v>
      </c>
      <c r="C6" s="4" t="s">
        <v>11</v>
      </c>
      <c r="D6" s="4"/>
      <c r="F6" t="s">
        <v>12</v>
      </c>
    </row>
    <row r="7" spans="1:13" ht="16.2" x14ac:dyDescent="0.3">
      <c r="A7" t="s">
        <v>13</v>
      </c>
      <c r="B7" s="4">
        <v>700</v>
      </c>
      <c r="C7" s="4"/>
      <c r="D7" s="4"/>
      <c r="F7" t="s">
        <v>14</v>
      </c>
    </row>
    <row r="8" spans="1:13" ht="16.2" x14ac:dyDescent="0.3">
      <c r="A8" s="4"/>
      <c r="B8" s="4"/>
      <c r="C8" s="4"/>
      <c r="D8" s="4"/>
      <c r="F8" t="s">
        <v>15</v>
      </c>
    </row>
    <row r="9" spans="1:13" ht="16.2" x14ac:dyDescent="0.3">
      <c r="A9" s="4"/>
      <c r="B9" s="4"/>
      <c r="C9" s="4"/>
      <c r="D9" s="4"/>
    </row>
    <row r="10" spans="1:13" ht="16.2" x14ac:dyDescent="0.3">
      <c r="A10" s="4"/>
      <c r="B10" s="4"/>
      <c r="C10" s="4"/>
      <c r="D10" s="4"/>
      <c r="F10" t="s">
        <v>16</v>
      </c>
      <c r="M10" t="s">
        <v>17</v>
      </c>
    </row>
    <row r="11" spans="1:13" ht="16.2" x14ac:dyDescent="0.3">
      <c r="A11" s="4"/>
      <c r="B11" s="4"/>
      <c r="C11" s="4"/>
      <c r="D11" s="4"/>
      <c r="F11" s="5"/>
      <c r="G11" s="5"/>
      <c r="H11" s="5" t="s">
        <v>18</v>
      </c>
      <c r="M11" t="s">
        <v>10</v>
      </c>
    </row>
    <row r="12" spans="1:13" ht="16.2" x14ac:dyDescent="0.3">
      <c r="A12" s="4"/>
      <c r="B12" s="4"/>
      <c r="C12" s="4"/>
      <c r="D12" s="4"/>
      <c r="F12" s="5" t="s">
        <v>19</v>
      </c>
      <c r="G12" s="5"/>
      <c r="H12" s="5">
        <v>700</v>
      </c>
      <c r="M12" t="s">
        <v>13</v>
      </c>
    </row>
    <row r="13" spans="1:13" ht="16.2" x14ac:dyDescent="0.3">
      <c r="A13" s="4"/>
      <c r="B13" s="4"/>
      <c r="C13" s="4"/>
      <c r="D13" s="4"/>
      <c r="F13" s="5" t="s">
        <v>20</v>
      </c>
      <c r="G13" s="5"/>
      <c r="H13" s="5">
        <v>400</v>
      </c>
      <c r="M13" t="s">
        <v>21</v>
      </c>
    </row>
    <row r="14" spans="1:13" ht="16.2" x14ac:dyDescent="0.3">
      <c r="A14" s="4"/>
      <c r="B14" s="4"/>
      <c r="C14" s="4"/>
      <c r="D14" s="4"/>
      <c r="F14" s="5" t="s">
        <v>22</v>
      </c>
      <c r="G14" s="5"/>
      <c r="H14" s="5">
        <v>50</v>
      </c>
      <c r="M14" t="s">
        <v>23</v>
      </c>
    </row>
    <row r="15" spans="1:13" ht="16.8" thickBot="1" x14ac:dyDescent="0.35">
      <c r="A15" s="6"/>
      <c r="B15" s="6"/>
      <c r="C15" s="6"/>
      <c r="D15" s="6"/>
      <c r="F15" s="5" t="s">
        <v>24</v>
      </c>
      <c r="G15" s="5"/>
      <c r="H15" s="5">
        <v>350</v>
      </c>
      <c r="M15" t="s">
        <v>25</v>
      </c>
    </row>
    <row r="16" spans="1:13" ht="16.8" thickBot="1" x14ac:dyDescent="0.35">
      <c r="A16" s="7" t="s">
        <v>26</v>
      </c>
      <c r="B16" s="8">
        <f>SUM(B6:B15)</f>
        <v>750</v>
      </c>
      <c r="C16" s="7" t="s">
        <v>27</v>
      </c>
      <c r="D16" s="8">
        <f>SUM(D5:D15)</f>
        <v>0</v>
      </c>
      <c r="M16" t="s">
        <v>28</v>
      </c>
    </row>
    <row r="17" spans="1:13" ht="16.2" x14ac:dyDescent="0.3">
      <c r="A17" s="9" t="s">
        <v>29</v>
      </c>
      <c r="B17" s="9"/>
      <c r="C17" s="9" t="s">
        <v>30</v>
      </c>
      <c r="D17" s="9"/>
      <c r="F17" t="s">
        <v>31</v>
      </c>
      <c r="M17" t="s">
        <v>32</v>
      </c>
    </row>
    <row r="18" spans="1:13" ht="16.2" x14ac:dyDescent="0.3">
      <c r="A18" s="4"/>
      <c r="B18" s="4"/>
      <c r="C18" s="10" t="s">
        <v>33</v>
      </c>
      <c r="D18" s="10">
        <v>350</v>
      </c>
      <c r="M18" t="s">
        <v>34</v>
      </c>
    </row>
    <row r="19" spans="1:13" ht="16.2" x14ac:dyDescent="0.3">
      <c r="A19" s="4"/>
      <c r="B19" s="4"/>
      <c r="C19" s="4"/>
      <c r="D19" s="4"/>
      <c r="F19" t="s">
        <v>35</v>
      </c>
      <c r="G19" t="s">
        <v>36</v>
      </c>
      <c r="H19" t="s">
        <v>37</v>
      </c>
      <c r="K19" t="s">
        <v>38</v>
      </c>
      <c r="M19" t="s">
        <v>39</v>
      </c>
    </row>
    <row r="20" spans="1:13" ht="16.2" x14ac:dyDescent="0.3">
      <c r="A20" s="4"/>
      <c r="B20" s="4"/>
      <c r="C20" s="4"/>
      <c r="D20" s="4"/>
      <c r="F20" t="s">
        <v>40</v>
      </c>
      <c r="G20" t="s">
        <v>41</v>
      </c>
      <c r="H20" t="s">
        <v>42</v>
      </c>
      <c r="K20">
        <v>200</v>
      </c>
      <c r="M20" t="s">
        <v>43</v>
      </c>
    </row>
    <row r="21" spans="1:13" ht="16.2" x14ac:dyDescent="0.3">
      <c r="A21" s="4"/>
      <c r="B21" s="4"/>
      <c r="C21" s="4"/>
      <c r="D21" s="4"/>
      <c r="F21" t="s">
        <v>44</v>
      </c>
      <c r="G21" t="s">
        <v>45</v>
      </c>
      <c r="H21" t="s">
        <v>46</v>
      </c>
      <c r="K21">
        <v>20</v>
      </c>
      <c r="M21" t="s">
        <v>47</v>
      </c>
    </row>
    <row r="22" spans="1:13" ht="18" customHeight="1" x14ac:dyDescent="0.3">
      <c r="A22" s="4"/>
      <c r="B22" s="4"/>
      <c r="C22" s="4"/>
      <c r="D22" s="4"/>
      <c r="F22" t="s">
        <v>48</v>
      </c>
      <c r="G22" t="s">
        <v>49</v>
      </c>
      <c r="H22" s="11" t="s">
        <v>50</v>
      </c>
      <c r="K22">
        <v>200</v>
      </c>
      <c r="M22" t="s">
        <v>51</v>
      </c>
    </row>
    <row r="23" spans="1:13" ht="15" customHeight="1" x14ac:dyDescent="0.3">
      <c r="A23" s="4"/>
      <c r="B23" s="4"/>
      <c r="C23" s="4"/>
      <c r="D23" s="4"/>
      <c r="F23" t="s">
        <v>52</v>
      </c>
      <c r="G23" t="s">
        <v>49</v>
      </c>
      <c r="H23" s="11" t="s">
        <v>53</v>
      </c>
      <c r="K23">
        <v>250</v>
      </c>
      <c r="M23" t="s">
        <v>54</v>
      </c>
    </row>
    <row r="24" spans="1:13" ht="16.8" thickBot="1" x14ac:dyDescent="0.35">
      <c r="A24" s="4"/>
      <c r="B24" s="4"/>
      <c r="C24" s="6"/>
      <c r="D24" s="6"/>
    </row>
    <row r="25" spans="1:13" ht="16.8" thickBot="1" x14ac:dyDescent="0.35">
      <c r="A25" s="4"/>
      <c r="B25" s="12"/>
      <c r="C25" s="7" t="s">
        <v>55</v>
      </c>
      <c r="D25" s="8">
        <f>SUM(D17:D24)</f>
        <v>350</v>
      </c>
    </row>
    <row r="26" spans="1:13" ht="16.8" thickBot="1" x14ac:dyDescent="0.35">
      <c r="A26" s="4"/>
      <c r="B26" s="12"/>
      <c r="C26" s="7" t="s">
        <v>56</v>
      </c>
      <c r="D26" s="8">
        <f>SUM(D25,D16)</f>
        <v>350</v>
      </c>
    </row>
    <row r="27" spans="1:13" ht="16.2" x14ac:dyDescent="0.3">
      <c r="A27" s="4"/>
      <c r="B27" s="4"/>
      <c r="C27" s="9" t="s">
        <v>57</v>
      </c>
      <c r="D27" s="9"/>
    </row>
    <row r="28" spans="1:13" ht="16.2" x14ac:dyDescent="0.3">
      <c r="A28" s="4"/>
      <c r="B28" s="4"/>
      <c r="C28" s="13" t="str">
        <f>M22</f>
        <v>2221 Aktsiakapital</v>
      </c>
      <c r="D28" s="4">
        <f>H13</f>
        <v>400</v>
      </c>
    </row>
    <row r="29" spans="1:13" ht="16.2" x14ac:dyDescent="0.3">
      <c r="A29" s="4"/>
      <c r="B29" s="4"/>
      <c r="C29" s="4"/>
      <c r="D29" s="4"/>
    </row>
    <row r="30" spans="1:13" ht="16.2" x14ac:dyDescent="0.3">
      <c r="A30" s="4"/>
      <c r="B30" s="4"/>
      <c r="C30" s="4"/>
      <c r="D30" s="4"/>
    </row>
    <row r="31" spans="1:13" ht="16.2" x14ac:dyDescent="0.3">
      <c r="A31" s="4"/>
      <c r="B31" s="4"/>
      <c r="C31" s="4"/>
      <c r="D31" s="4"/>
    </row>
    <row r="32" spans="1:13" ht="16.2" x14ac:dyDescent="0.3">
      <c r="A32" s="4"/>
      <c r="B32" s="4"/>
      <c r="C32" s="4"/>
      <c r="D32" s="4"/>
    </row>
    <row r="33" spans="1:4" ht="16.8" thickBot="1" x14ac:dyDescent="0.35">
      <c r="A33" s="6"/>
      <c r="B33" s="6"/>
      <c r="C33" s="6"/>
      <c r="D33" s="6"/>
    </row>
    <row r="34" spans="1:4" ht="16.8" thickBot="1" x14ac:dyDescent="0.35">
      <c r="A34" s="7" t="s">
        <v>58</v>
      </c>
      <c r="B34" s="8">
        <f>SUM(B17:B33)</f>
        <v>0</v>
      </c>
      <c r="C34" s="7" t="s">
        <v>59</v>
      </c>
      <c r="D34" s="8">
        <f>SUM(D28:D33)</f>
        <v>400</v>
      </c>
    </row>
    <row r="35" spans="1:4" ht="16.8" thickBot="1" x14ac:dyDescent="0.35">
      <c r="A35" s="7" t="s">
        <v>60</v>
      </c>
      <c r="B35" s="8">
        <f>SUM(B34+B16)</f>
        <v>750</v>
      </c>
      <c r="C35" s="7" t="s">
        <v>61</v>
      </c>
      <c r="D35" s="8">
        <f>SUM(D34+D26+D16)</f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A069-D102-45FA-A16E-0F7A2EB8185A}">
  <dimension ref="A1:Z41"/>
  <sheetViews>
    <sheetView workbookViewId="0">
      <selection activeCell="N1" sqref="N1"/>
    </sheetView>
  </sheetViews>
  <sheetFormatPr defaultRowHeight="14.4" x14ac:dyDescent="0.3"/>
  <cols>
    <col min="1" max="1" width="2.6640625" customWidth="1"/>
    <col min="2" max="2" width="12.6640625" customWidth="1"/>
    <col min="3" max="3" width="2.6640625" customWidth="1"/>
    <col min="4" max="4" width="10.6640625" customWidth="1"/>
    <col min="5" max="5" width="2.6640625" customWidth="1"/>
    <col min="6" max="6" width="2.5546875" customWidth="1"/>
    <col min="7" max="7" width="2.6640625" customWidth="1"/>
    <col min="8" max="8" width="12.6640625" customWidth="1"/>
    <col min="9" max="9" width="2.6640625" customWidth="1"/>
    <col min="10" max="10" width="10.6640625" customWidth="1"/>
    <col min="11" max="13" width="2.6640625" customWidth="1"/>
    <col min="14" max="14" width="12.6640625" customWidth="1"/>
    <col min="15" max="15" width="2.6640625" customWidth="1"/>
    <col min="16" max="16" width="10.6640625" customWidth="1"/>
    <col min="17" max="17" width="2.6640625" customWidth="1"/>
    <col min="18" max="18" width="3.5546875" customWidth="1"/>
    <col min="19" max="19" width="2.6640625" customWidth="1"/>
    <col min="20" max="20" width="12.6640625" customWidth="1"/>
    <col min="21" max="21" width="2.6640625" customWidth="1"/>
    <col min="22" max="22" width="10.6640625" customWidth="1"/>
    <col min="23" max="23" width="2.6640625" customWidth="1"/>
    <col min="25" max="25" width="4" bestFit="1" customWidth="1"/>
  </cols>
  <sheetData>
    <row r="1" spans="1:26" ht="19.8" x14ac:dyDescent="0.5">
      <c r="A1" s="14" t="s">
        <v>62</v>
      </c>
      <c r="D1" s="14"/>
    </row>
    <row r="3" spans="1:26" ht="15" thickBot="1" x14ac:dyDescent="0.35">
      <c r="A3" s="15" t="s">
        <v>63</v>
      </c>
      <c r="B3" s="15">
        <v>1110</v>
      </c>
      <c r="C3" s="15" t="s">
        <v>64</v>
      </c>
      <c r="D3" s="15"/>
      <c r="E3" s="16" t="s">
        <v>65</v>
      </c>
      <c r="F3" s="17"/>
      <c r="G3" s="18" t="s">
        <v>63</v>
      </c>
      <c r="H3" s="62"/>
      <c r="I3" s="62"/>
      <c r="J3" s="62"/>
      <c r="K3" s="19" t="s">
        <v>65</v>
      </c>
      <c r="L3" s="20"/>
      <c r="M3" s="15" t="s">
        <v>63</v>
      </c>
      <c r="N3" s="61" t="s">
        <v>33</v>
      </c>
      <c r="O3" s="61"/>
      <c r="P3" s="61"/>
      <c r="Q3" s="16" t="s">
        <v>65</v>
      </c>
      <c r="R3" s="20"/>
      <c r="S3" s="18" t="s">
        <v>63</v>
      </c>
      <c r="T3" s="62"/>
      <c r="U3" s="62"/>
      <c r="V3" s="62"/>
      <c r="W3" s="19" t="s">
        <v>65</v>
      </c>
      <c r="X3" s="20"/>
      <c r="Y3" s="17"/>
      <c r="Z3" s="20"/>
    </row>
    <row r="4" spans="1:26" x14ac:dyDescent="0.3">
      <c r="A4" s="21" t="s">
        <v>66</v>
      </c>
      <c r="B4" s="21">
        <v>50</v>
      </c>
      <c r="C4" s="22"/>
      <c r="D4" s="60"/>
      <c r="E4" s="60"/>
      <c r="F4" s="20"/>
      <c r="G4" s="21"/>
      <c r="H4" s="21"/>
      <c r="I4" s="22"/>
      <c r="J4" s="60"/>
      <c r="K4" s="60"/>
      <c r="L4" s="20"/>
      <c r="M4" s="21"/>
      <c r="N4" s="21"/>
      <c r="O4" s="22" t="s">
        <v>66</v>
      </c>
      <c r="P4" s="60">
        <v>350</v>
      </c>
      <c r="Q4" s="60"/>
      <c r="R4" s="20"/>
      <c r="S4" s="21"/>
      <c r="T4" s="21"/>
      <c r="U4" s="22"/>
      <c r="V4" s="60"/>
      <c r="W4" s="60"/>
      <c r="X4" s="20"/>
      <c r="Y4" s="20"/>
      <c r="Z4" s="20"/>
    </row>
    <row r="5" spans="1:26" x14ac:dyDescent="0.3">
      <c r="A5" s="21"/>
      <c r="B5" s="21"/>
      <c r="C5" s="22" t="s">
        <v>44</v>
      </c>
      <c r="D5" s="58">
        <v>20</v>
      </c>
      <c r="E5" s="58"/>
      <c r="F5" s="20"/>
      <c r="G5" s="21"/>
      <c r="H5" s="21"/>
      <c r="I5" s="22"/>
      <c r="J5" s="58"/>
      <c r="K5" s="58"/>
      <c r="L5" s="20"/>
      <c r="M5" s="21" t="s">
        <v>52</v>
      </c>
      <c r="N5" s="21">
        <v>250</v>
      </c>
      <c r="O5" s="22"/>
      <c r="P5" s="58"/>
      <c r="Q5" s="58"/>
      <c r="R5" s="20"/>
      <c r="S5" s="21"/>
      <c r="T5" s="21"/>
      <c r="U5" s="22"/>
      <c r="V5" s="58"/>
      <c r="W5" s="58"/>
      <c r="X5" s="20"/>
      <c r="Y5" s="20"/>
      <c r="Z5" s="20"/>
    </row>
    <row r="6" spans="1:26" x14ac:dyDescent="0.3">
      <c r="A6" s="21"/>
      <c r="B6" s="21"/>
      <c r="C6" s="22"/>
      <c r="D6" s="58"/>
      <c r="E6" s="58"/>
      <c r="F6" s="20"/>
      <c r="G6" s="21"/>
      <c r="H6" s="21"/>
      <c r="I6" s="22"/>
      <c r="J6" s="58"/>
      <c r="K6" s="58"/>
      <c r="L6" s="20"/>
      <c r="M6" s="21"/>
      <c r="N6" s="21"/>
      <c r="O6" s="22"/>
      <c r="P6" s="58"/>
      <c r="Q6" s="58"/>
      <c r="R6" s="20"/>
      <c r="S6" s="21"/>
      <c r="T6" s="21"/>
      <c r="U6" s="22"/>
      <c r="V6" s="58"/>
      <c r="W6" s="58"/>
      <c r="X6" s="20"/>
      <c r="Y6" s="20"/>
      <c r="Z6" s="20"/>
    </row>
    <row r="7" spans="1:26" x14ac:dyDescent="0.3">
      <c r="A7" s="21"/>
      <c r="B7" s="21"/>
      <c r="C7" s="22"/>
      <c r="D7" s="58"/>
      <c r="E7" s="58"/>
      <c r="F7" s="20"/>
      <c r="G7" s="21"/>
      <c r="H7" s="21"/>
      <c r="I7" s="22"/>
      <c r="J7" s="58"/>
      <c r="K7" s="58"/>
      <c r="L7" s="20"/>
      <c r="M7" s="21"/>
      <c r="N7" s="21"/>
      <c r="O7" s="22"/>
      <c r="P7" s="58"/>
      <c r="Q7" s="58"/>
      <c r="R7" s="20"/>
      <c r="S7" s="21"/>
      <c r="T7" s="21"/>
      <c r="U7" s="22"/>
      <c r="V7" s="58"/>
      <c r="W7" s="58"/>
      <c r="X7" s="20"/>
      <c r="Y7" s="20"/>
      <c r="Z7" s="20"/>
    </row>
    <row r="8" spans="1:26" x14ac:dyDescent="0.3">
      <c r="A8" s="21"/>
      <c r="B8" s="21"/>
      <c r="C8" s="22"/>
      <c r="D8" s="58"/>
      <c r="E8" s="58"/>
      <c r="F8" s="20"/>
      <c r="G8" s="21"/>
      <c r="H8" s="21"/>
      <c r="I8" s="22"/>
      <c r="J8" s="58"/>
      <c r="K8" s="58"/>
      <c r="L8" s="20"/>
      <c r="M8" s="21"/>
      <c r="N8" s="21"/>
      <c r="O8" s="22"/>
      <c r="P8" s="58"/>
      <c r="Q8" s="58"/>
      <c r="R8" s="20"/>
      <c r="S8" s="21"/>
      <c r="T8" s="21"/>
      <c r="U8" s="22"/>
      <c r="V8" s="58"/>
      <c r="W8" s="58"/>
      <c r="X8" s="20"/>
      <c r="Y8" s="20"/>
      <c r="Z8" s="20"/>
    </row>
    <row r="9" spans="1:26" ht="15" thickBot="1" x14ac:dyDescent="0.35">
      <c r="A9" s="23"/>
      <c r="B9" s="23"/>
      <c r="C9" s="24"/>
      <c r="D9" s="59"/>
      <c r="E9" s="59"/>
      <c r="F9" s="20"/>
      <c r="G9" s="23"/>
      <c r="H9" s="23"/>
      <c r="I9" s="24"/>
      <c r="J9" s="59"/>
      <c r="K9" s="59"/>
      <c r="L9" s="20"/>
      <c r="M9" s="23"/>
      <c r="N9" s="23"/>
      <c r="O9" s="24"/>
      <c r="P9" s="59"/>
      <c r="Q9" s="59"/>
      <c r="R9" s="20"/>
      <c r="S9" s="23"/>
      <c r="T9" s="23"/>
      <c r="U9" s="24"/>
      <c r="V9" s="59"/>
      <c r="W9" s="59"/>
      <c r="X9" s="20"/>
      <c r="Y9" s="20"/>
      <c r="Z9" s="20"/>
    </row>
    <row r="10" spans="1:26" ht="15" thickBot="1" x14ac:dyDescent="0.35">
      <c r="A10" s="18" t="s">
        <v>65</v>
      </c>
      <c r="B10" s="23">
        <v>0</v>
      </c>
      <c r="C10" s="24" t="s">
        <v>65</v>
      </c>
      <c r="D10" s="56">
        <v>20</v>
      </c>
      <c r="E10" s="56"/>
      <c r="F10" s="20"/>
      <c r="G10" s="18"/>
      <c r="H10" s="23"/>
      <c r="I10" s="24"/>
      <c r="J10" s="56"/>
      <c r="K10" s="56"/>
      <c r="L10" s="20"/>
      <c r="M10" s="18" t="s">
        <v>65</v>
      </c>
      <c r="N10" s="23">
        <v>250</v>
      </c>
      <c r="O10" s="18" t="s">
        <v>65</v>
      </c>
      <c r="P10" s="56">
        <v>0</v>
      </c>
      <c r="Q10" s="56"/>
      <c r="R10" s="20"/>
      <c r="S10" s="18"/>
      <c r="T10" s="23"/>
      <c r="U10" s="24"/>
      <c r="V10" s="56"/>
      <c r="W10" s="56"/>
      <c r="X10" s="20"/>
      <c r="Y10" s="20"/>
      <c r="Z10" s="20"/>
    </row>
    <row r="11" spans="1:26" x14ac:dyDescent="0.3">
      <c r="A11" s="20" t="s">
        <v>67</v>
      </c>
      <c r="B11" s="20">
        <v>30</v>
      </c>
      <c r="C11" s="25"/>
      <c r="D11" s="57"/>
      <c r="E11" s="57"/>
      <c r="F11" s="20"/>
      <c r="G11" s="20"/>
      <c r="H11" s="20"/>
      <c r="I11" s="25"/>
      <c r="J11" s="57"/>
      <c r="K11" s="57"/>
      <c r="L11" s="20"/>
      <c r="M11" s="20"/>
      <c r="N11" s="20"/>
      <c r="O11" s="20" t="s">
        <v>67</v>
      </c>
      <c r="P11" s="57">
        <v>100</v>
      </c>
      <c r="Q11" s="57"/>
      <c r="R11" s="20"/>
      <c r="S11" s="20"/>
      <c r="T11" s="20"/>
      <c r="U11" s="25"/>
      <c r="V11" s="57"/>
      <c r="W11" s="57"/>
      <c r="X11" s="20"/>
      <c r="Y11" s="20"/>
      <c r="Z11" s="20"/>
    </row>
    <row r="12" spans="1:26" x14ac:dyDescent="0.3">
      <c r="A12" s="20"/>
      <c r="B12" s="20"/>
      <c r="C12" s="20"/>
      <c r="D12" s="20"/>
      <c r="E12" s="17"/>
      <c r="F12" s="17"/>
      <c r="G12" s="20"/>
      <c r="H12" s="20"/>
      <c r="I12" s="20"/>
      <c r="J12" s="17"/>
      <c r="K12" s="17"/>
      <c r="L12" s="20"/>
      <c r="M12" s="20"/>
      <c r="N12" s="20"/>
      <c r="O12" s="17"/>
      <c r="P12" s="17"/>
      <c r="Q12" s="20"/>
      <c r="R12" s="20"/>
      <c r="S12" s="20"/>
      <c r="T12" s="17"/>
      <c r="U12" s="17"/>
      <c r="V12" s="20"/>
      <c r="W12" s="20"/>
      <c r="X12" s="20"/>
      <c r="Y12" s="17"/>
      <c r="Z12" s="20"/>
    </row>
    <row r="13" spans="1:26" ht="15" thickBot="1" x14ac:dyDescent="0.35">
      <c r="A13" s="15" t="s">
        <v>63</v>
      </c>
      <c r="B13" s="61" t="s">
        <v>68</v>
      </c>
      <c r="C13" s="61"/>
      <c r="D13" s="61"/>
      <c r="E13" s="16" t="s">
        <v>65</v>
      </c>
      <c r="F13" s="17"/>
      <c r="G13" s="18" t="s">
        <v>63</v>
      </c>
      <c r="H13" s="62"/>
      <c r="I13" s="62"/>
      <c r="J13" s="62"/>
      <c r="K13" s="19" t="s">
        <v>65</v>
      </c>
      <c r="L13" s="20"/>
      <c r="M13" s="15" t="s">
        <v>63</v>
      </c>
      <c r="N13" s="61" t="s">
        <v>69</v>
      </c>
      <c r="O13" s="61"/>
      <c r="P13" s="61"/>
      <c r="Q13" s="16" t="s">
        <v>65</v>
      </c>
      <c r="R13" s="20"/>
      <c r="S13" s="18" t="s">
        <v>63</v>
      </c>
      <c r="T13" s="62"/>
      <c r="U13" s="62"/>
      <c r="V13" s="62"/>
      <c r="W13" s="19" t="s">
        <v>65</v>
      </c>
      <c r="X13" s="20"/>
      <c r="Y13" s="20"/>
      <c r="Z13" s="20"/>
    </row>
    <row r="14" spans="1:26" x14ac:dyDescent="0.3">
      <c r="A14" s="21" t="s">
        <v>70</v>
      </c>
      <c r="B14" s="21">
        <v>700</v>
      </c>
      <c r="C14" s="22"/>
      <c r="D14" s="60"/>
      <c r="E14" s="60"/>
      <c r="F14" s="20"/>
      <c r="G14" s="21"/>
      <c r="H14" s="21"/>
      <c r="I14" s="22"/>
      <c r="J14" s="60"/>
      <c r="K14" s="60"/>
      <c r="L14" s="20"/>
      <c r="M14" s="21"/>
      <c r="N14" s="21"/>
      <c r="O14" s="22" t="s">
        <v>70</v>
      </c>
      <c r="P14" s="60">
        <v>400</v>
      </c>
      <c r="Q14" s="60"/>
      <c r="R14" s="20"/>
      <c r="S14" s="21"/>
      <c r="T14" s="21"/>
      <c r="U14" s="22"/>
      <c r="V14" s="60"/>
      <c r="W14" s="60"/>
      <c r="X14" s="20"/>
      <c r="Y14" s="20"/>
      <c r="Z14" s="20"/>
    </row>
    <row r="15" spans="1:26" x14ac:dyDescent="0.3">
      <c r="A15" s="21"/>
      <c r="B15" s="21"/>
      <c r="C15" s="22" t="s">
        <v>48</v>
      </c>
      <c r="D15" s="58">
        <v>200</v>
      </c>
      <c r="E15" s="58"/>
      <c r="F15" s="20"/>
      <c r="G15" s="21"/>
      <c r="H15" s="21"/>
      <c r="I15" s="22"/>
      <c r="J15" s="58"/>
      <c r="K15" s="58"/>
      <c r="L15" s="20"/>
      <c r="M15" s="21"/>
      <c r="N15" s="21"/>
      <c r="O15" s="22"/>
      <c r="P15" s="58"/>
      <c r="Q15" s="58"/>
      <c r="R15" s="20"/>
      <c r="S15" s="21"/>
      <c r="T15" s="21"/>
      <c r="U15" s="22"/>
      <c r="V15" s="58"/>
      <c r="W15" s="58"/>
      <c r="X15" s="20"/>
      <c r="Y15" s="20"/>
      <c r="Z15" s="20"/>
    </row>
    <row r="16" spans="1:26" x14ac:dyDescent="0.3">
      <c r="A16" s="21"/>
      <c r="B16" s="21"/>
      <c r="C16" s="22"/>
      <c r="D16" s="58"/>
      <c r="E16" s="58"/>
      <c r="F16" s="20"/>
      <c r="G16" s="21"/>
      <c r="H16" s="21"/>
      <c r="I16" s="22"/>
      <c r="J16" s="58"/>
      <c r="K16" s="58"/>
      <c r="L16" s="20"/>
      <c r="M16" s="21"/>
      <c r="N16" s="21"/>
      <c r="O16" s="22"/>
      <c r="P16" s="58"/>
      <c r="Q16" s="58"/>
      <c r="R16" s="20"/>
      <c r="S16" s="21"/>
      <c r="T16" s="21"/>
      <c r="U16" s="22"/>
      <c r="V16" s="58"/>
      <c r="W16" s="58"/>
      <c r="X16" s="20"/>
      <c r="Y16" s="20"/>
      <c r="Z16" s="20"/>
    </row>
    <row r="17" spans="1:26" x14ac:dyDescent="0.3">
      <c r="A17" s="21"/>
      <c r="B17" s="21"/>
      <c r="C17" s="22"/>
      <c r="D17" s="58"/>
      <c r="E17" s="58"/>
      <c r="F17" s="20"/>
      <c r="G17" s="21"/>
      <c r="H17" s="21"/>
      <c r="I17" s="22"/>
      <c r="J17" s="58"/>
      <c r="K17" s="58"/>
      <c r="L17" s="20"/>
      <c r="M17" s="21"/>
      <c r="N17" s="21"/>
      <c r="O17" s="22"/>
      <c r="P17" s="58"/>
      <c r="Q17" s="58"/>
      <c r="R17" s="20"/>
      <c r="S17" s="21"/>
      <c r="T17" s="21"/>
      <c r="U17" s="22"/>
      <c r="V17" s="58"/>
      <c r="W17" s="58"/>
      <c r="X17" s="20"/>
      <c r="Y17" s="20"/>
      <c r="Z17" s="20"/>
    </row>
    <row r="18" spans="1:26" x14ac:dyDescent="0.3">
      <c r="A18" s="21"/>
      <c r="B18" s="21"/>
      <c r="C18" s="22"/>
      <c r="D18" s="58"/>
      <c r="E18" s="58"/>
      <c r="F18" s="20"/>
      <c r="G18" s="21"/>
      <c r="H18" s="21"/>
      <c r="I18" s="22"/>
      <c r="J18" s="58"/>
      <c r="K18" s="58"/>
      <c r="L18" s="20"/>
      <c r="M18" s="21"/>
      <c r="N18" s="21"/>
      <c r="O18" s="22"/>
      <c r="P18" s="58"/>
      <c r="Q18" s="58"/>
      <c r="R18" s="20"/>
      <c r="S18" s="21"/>
      <c r="T18" s="21"/>
      <c r="U18" s="22"/>
      <c r="V18" s="58"/>
      <c r="W18" s="58"/>
      <c r="X18" s="20"/>
      <c r="Y18" s="20"/>
      <c r="Z18" s="20"/>
    </row>
    <row r="19" spans="1:26" ht="15" thickBot="1" x14ac:dyDescent="0.35">
      <c r="A19" s="23"/>
      <c r="B19" s="23"/>
      <c r="C19" s="24"/>
      <c r="D19" s="59"/>
      <c r="E19" s="59"/>
      <c r="F19" s="20"/>
      <c r="G19" s="23"/>
      <c r="H19" s="23"/>
      <c r="I19" s="24"/>
      <c r="J19" s="59"/>
      <c r="K19" s="59"/>
      <c r="L19" s="20"/>
      <c r="M19" s="23"/>
      <c r="N19" s="23"/>
      <c r="O19" s="24"/>
      <c r="P19" s="59"/>
      <c r="Q19" s="59"/>
      <c r="R19" s="20"/>
      <c r="S19" s="23"/>
      <c r="T19" s="23"/>
      <c r="U19" s="24"/>
      <c r="V19" s="59"/>
      <c r="W19" s="59"/>
      <c r="X19" s="20"/>
      <c r="Y19" s="20"/>
      <c r="Z19" s="20"/>
    </row>
    <row r="20" spans="1:26" ht="15" thickBot="1" x14ac:dyDescent="0.35">
      <c r="A20" s="18" t="s">
        <v>65</v>
      </c>
      <c r="B20" s="23">
        <v>0</v>
      </c>
      <c r="C20" s="18" t="s">
        <v>65</v>
      </c>
      <c r="D20" s="56">
        <v>200</v>
      </c>
      <c r="E20" s="56"/>
      <c r="F20" s="20"/>
      <c r="G20" s="18"/>
      <c r="H20" s="23"/>
      <c r="I20" s="24"/>
      <c r="J20" s="56"/>
      <c r="K20" s="56"/>
      <c r="L20" s="20"/>
      <c r="M20" s="18"/>
      <c r="N20" s="23"/>
      <c r="O20" s="24" t="s">
        <v>65</v>
      </c>
      <c r="P20" s="56">
        <v>0</v>
      </c>
      <c r="Q20" s="56"/>
      <c r="R20" s="20"/>
      <c r="S20" s="18"/>
      <c r="T20" s="23"/>
      <c r="U20" s="24"/>
      <c r="V20" s="56"/>
      <c r="W20" s="56"/>
      <c r="X20" s="20"/>
      <c r="Y20" s="20"/>
      <c r="Z20" s="20"/>
    </row>
    <row r="21" spans="1:26" x14ac:dyDescent="0.3">
      <c r="A21" s="20" t="s">
        <v>67</v>
      </c>
      <c r="B21" s="20">
        <v>500</v>
      </c>
      <c r="C21" s="25"/>
      <c r="D21" s="57"/>
      <c r="E21" s="57"/>
      <c r="F21" s="20"/>
      <c r="G21" s="20"/>
      <c r="H21" s="20"/>
      <c r="I21" s="25"/>
      <c r="J21" s="57"/>
      <c r="K21" s="57"/>
      <c r="L21" s="20"/>
      <c r="M21" s="20"/>
      <c r="N21" s="20"/>
      <c r="O21" s="25" t="s">
        <v>67</v>
      </c>
      <c r="P21" s="57">
        <v>400</v>
      </c>
      <c r="Q21" s="57"/>
      <c r="R21" s="20"/>
      <c r="S21" s="20"/>
      <c r="T21" s="20"/>
      <c r="U21" s="25"/>
      <c r="V21" s="57"/>
      <c r="W21" s="57"/>
      <c r="X21" s="20"/>
      <c r="Y21" s="17"/>
      <c r="Z21" s="20"/>
    </row>
    <row r="22" spans="1:26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" thickBot="1" x14ac:dyDescent="0.35">
      <c r="A23" s="15" t="s">
        <v>63</v>
      </c>
      <c r="B23" s="61" t="s">
        <v>71</v>
      </c>
      <c r="C23" s="61"/>
      <c r="D23" s="61"/>
      <c r="E23" s="16" t="s">
        <v>65</v>
      </c>
      <c r="F23" s="17"/>
      <c r="G23" s="18" t="s">
        <v>63</v>
      </c>
      <c r="H23" s="62"/>
      <c r="I23" s="62"/>
      <c r="J23" s="62"/>
      <c r="K23" s="19" t="s">
        <v>65</v>
      </c>
      <c r="L23" s="20"/>
      <c r="M23" s="15" t="s">
        <v>63</v>
      </c>
      <c r="N23" s="61" t="s">
        <v>72</v>
      </c>
      <c r="O23" s="61"/>
      <c r="P23" s="61"/>
      <c r="Q23" s="16" t="s">
        <v>65</v>
      </c>
      <c r="R23" s="20"/>
      <c r="S23" s="18" t="s">
        <v>63</v>
      </c>
      <c r="T23" s="62"/>
      <c r="U23" s="62"/>
      <c r="V23" s="62"/>
      <c r="W23" s="19" t="s">
        <v>65</v>
      </c>
      <c r="X23" s="20"/>
      <c r="Y23" s="20"/>
      <c r="Z23" s="20"/>
    </row>
    <row r="24" spans="1:26" x14ac:dyDescent="0.3">
      <c r="A24" s="21" t="s">
        <v>70</v>
      </c>
      <c r="B24" s="21">
        <v>0</v>
      </c>
      <c r="C24" s="22"/>
      <c r="D24" s="60"/>
      <c r="E24" s="60"/>
      <c r="F24" s="20"/>
      <c r="G24" s="21"/>
      <c r="H24" s="21"/>
      <c r="I24" s="22"/>
      <c r="J24" s="60"/>
      <c r="K24" s="60"/>
      <c r="L24" s="20"/>
      <c r="M24" s="21"/>
      <c r="N24" s="21"/>
      <c r="O24" s="22" t="s">
        <v>70</v>
      </c>
      <c r="P24" s="60">
        <v>0</v>
      </c>
      <c r="Q24" s="60"/>
      <c r="R24" s="20"/>
      <c r="S24" s="21"/>
      <c r="T24" s="21"/>
      <c r="U24" s="22"/>
      <c r="V24" s="60"/>
      <c r="W24" s="60"/>
      <c r="X24" s="20"/>
      <c r="Y24" s="20"/>
      <c r="Z24" s="20"/>
    </row>
    <row r="25" spans="1:26" x14ac:dyDescent="0.3">
      <c r="A25" s="21" t="s">
        <v>40</v>
      </c>
      <c r="B25" s="21">
        <v>200</v>
      </c>
      <c r="C25" s="22"/>
      <c r="D25" s="58"/>
      <c r="E25" s="58"/>
      <c r="F25" s="20"/>
      <c r="G25" s="21"/>
      <c r="H25" s="21"/>
      <c r="I25" s="22"/>
      <c r="J25" s="58"/>
      <c r="K25" s="58"/>
      <c r="L25" s="20"/>
      <c r="M25" s="21"/>
      <c r="N25" s="21"/>
      <c r="O25" s="22" t="s">
        <v>40</v>
      </c>
      <c r="P25" s="58">
        <v>200</v>
      </c>
      <c r="Q25" s="58"/>
      <c r="R25" s="20"/>
      <c r="S25" s="21"/>
      <c r="T25" s="21"/>
      <c r="U25" s="22"/>
      <c r="V25" s="58"/>
      <c r="W25" s="58"/>
      <c r="X25" s="20"/>
      <c r="Y25" s="20"/>
      <c r="Z25" s="20"/>
    </row>
    <row r="26" spans="1:26" x14ac:dyDescent="0.3">
      <c r="A26" s="21"/>
      <c r="B26" s="21"/>
      <c r="C26" s="22"/>
      <c r="D26" s="58"/>
      <c r="E26" s="58"/>
      <c r="F26" s="20"/>
      <c r="G26" s="21"/>
      <c r="H26" s="21"/>
      <c r="I26" s="22"/>
      <c r="J26" s="58"/>
      <c r="K26" s="58"/>
      <c r="L26" s="20"/>
      <c r="M26" s="21" t="s">
        <v>48</v>
      </c>
      <c r="N26" s="21">
        <v>200</v>
      </c>
      <c r="O26" s="22"/>
      <c r="P26" s="58"/>
      <c r="Q26" s="58"/>
      <c r="R26" s="20"/>
      <c r="S26" s="21"/>
      <c r="T26" s="21"/>
      <c r="U26" s="22"/>
      <c r="V26" s="58"/>
      <c r="W26" s="58"/>
      <c r="X26" s="20"/>
      <c r="Y26" s="20"/>
      <c r="Z26" s="20"/>
    </row>
    <row r="27" spans="1:26" x14ac:dyDescent="0.3">
      <c r="A27" s="21"/>
      <c r="B27" s="21"/>
      <c r="C27" s="22"/>
      <c r="D27" s="58"/>
      <c r="E27" s="58"/>
      <c r="F27" s="20"/>
      <c r="G27" s="21"/>
      <c r="H27" s="21"/>
      <c r="I27" s="22"/>
      <c r="J27" s="58"/>
      <c r="K27" s="58"/>
      <c r="L27" s="20"/>
      <c r="M27" s="21"/>
      <c r="N27" s="21"/>
      <c r="O27" s="22"/>
      <c r="P27" s="58"/>
      <c r="Q27" s="58"/>
      <c r="R27" s="20"/>
      <c r="S27" s="21"/>
      <c r="T27" s="21"/>
      <c r="U27" s="22"/>
      <c r="V27" s="58"/>
      <c r="W27" s="58"/>
      <c r="X27" s="20"/>
      <c r="Y27" s="20"/>
      <c r="Z27" s="20"/>
    </row>
    <row r="28" spans="1:26" x14ac:dyDescent="0.3">
      <c r="A28" s="21"/>
      <c r="B28" s="21"/>
      <c r="C28" s="22"/>
      <c r="D28" s="58"/>
      <c r="E28" s="58"/>
      <c r="F28" s="20"/>
      <c r="G28" s="21"/>
      <c r="H28" s="21"/>
      <c r="I28" s="22"/>
      <c r="J28" s="58"/>
      <c r="K28" s="58"/>
      <c r="L28" s="20"/>
      <c r="M28" s="21"/>
      <c r="N28" s="21"/>
      <c r="O28" s="22"/>
      <c r="P28" s="58"/>
      <c r="Q28" s="58"/>
      <c r="R28" s="20"/>
      <c r="S28" s="21"/>
      <c r="T28" s="21"/>
      <c r="U28" s="22"/>
      <c r="V28" s="58"/>
      <c r="W28" s="58"/>
      <c r="X28" s="20"/>
      <c r="Y28" s="20"/>
      <c r="Z28" s="20"/>
    </row>
    <row r="29" spans="1:26" ht="15" thickBot="1" x14ac:dyDescent="0.35">
      <c r="A29" s="23"/>
      <c r="B29" s="23"/>
      <c r="C29" s="24"/>
      <c r="D29" s="59"/>
      <c r="E29" s="59"/>
      <c r="F29" s="20"/>
      <c r="G29" s="23"/>
      <c r="H29" s="23"/>
      <c r="I29" s="24"/>
      <c r="J29" s="59"/>
      <c r="K29" s="59"/>
      <c r="L29" s="20"/>
      <c r="M29" s="23"/>
      <c r="N29" s="23"/>
      <c r="O29" s="24"/>
      <c r="P29" s="59"/>
      <c r="Q29" s="59"/>
      <c r="R29" s="20"/>
      <c r="S29" s="23"/>
      <c r="T29" s="23"/>
      <c r="U29" s="24"/>
      <c r="V29" s="59"/>
      <c r="W29" s="59"/>
      <c r="X29" s="20"/>
      <c r="Y29" s="20"/>
      <c r="Z29" s="20"/>
    </row>
    <row r="30" spans="1:26" ht="15" thickBot="1" x14ac:dyDescent="0.35">
      <c r="A30" s="18" t="s">
        <v>65</v>
      </c>
      <c r="B30" s="23">
        <v>200</v>
      </c>
      <c r="C30" s="24">
        <v>0</v>
      </c>
      <c r="D30" s="56"/>
      <c r="E30" s="56"/>
      <c r="F30" s="20"/>
      <c r="G30" s="18"/>
      <c r="H30" s="23"/>
      <c r="I30" s="24"/>
      <c r="J30" s="56"/>
      <c r="K30" s="56"/>
      <c r="L30" s="20"/>
      <c r="M30" s="18" t="s">
        <v>65</v>
      </c>
      <c r="N30" s="23">
        <v>200</v>
      </c>
      <c r="O30" s="18" t="s">
        <v>65</v>
      </c>
      <c r="P30" s="56">
        <v>200</v>
      </c>
      <c r="Q30" s="56"/>
      <c r="R30" s="20"/>
      <c r="S30" s="18"/>
      <c r="T30" s="23"/>
      <c r="U30" s="24"/>
      <c r="V30" s="56"/>
      <c r="W30" s="56"/>
      <c r="X30" s="20"/>
      <c r="Y30" s="17"/>
      <c r="Z30" s="20"/>
    </row>
    <row r="31" spans="1:26" x14ac:dyDescent="0.3">
      <c r="A31" s="20" t="s">
        <v>67</v>
      </c>
      <c r="B31" s="20">
        <v>200</v>
      </c>
      <c r="C31" s="25"/>
      <c r="D31" s="57"/>
      <c r="E31" s="57"/>
      <c r="F31" s="20"/>
      <c r="G31" s="20"/>
      <c r="H31" s="20"/>
      <c r="I31" s="25"/>
      <c r="J31" s="57"/>
      <c r="K31" s="57"/>
      <c r="L31" s="20"/>
      <c r="M31" s="20"/>
      <c r="N31" s="20"/>
      <c r="O31" s="20" t="s">
        <v>67</v>
      </c>
      <c r="P31" s="57">
        <v>0</v>
      </c>
      <c r="Q31" s="57"/>
      <c r="R31" s="20"/>
      <c r="S31" s="20"/>
      <c r="T31" s="20"/>
      <c r="U31" s="25"/>
      <c r="V31" s="57"/>
      <c r="W31" s="57"/>
      <c r="X31" s="20"/>
      <c r="Y31" s="20"/>
      <c r="Z31" s="20"/>
    </row>
    <row r="32" spans="1:26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" thickBot="1" x14ac:dyDescent="0.35">
      <c r="A33" s="15" t="s">
        <v>63</v>
      </c>
      <c r="B33" s="61" t="s">
        <v>73</v>
      </c>
      <c r="C33" s="61"/>
      <c r="D33" s="61"/>
      <c r="E33" s="16" t="s">
        <v>65</v>
      </c>
      <c r="F33" s="17"/>
      <c r="G33" s="18" t="s">
        <v>63</v>
      </c>
      <c r="H33" s="62"/>
      <c r="I33" s="62"/>
      <c r="J33" s="62"/>
      <c r="K33" s="19" t="s">
        <v>65</v>
      </c>
      <c r="L33" s="20"/>
      <c r="M33" s="15" t="s">
        <v>63</v>
      </c>
      <c r="N33" s="61" t="s">
        <v>74</v>
      </c>
      <c r="O33" s="61"/>
      <c r="P33" s="61"/>
      <c r="Q33" s="16" t="s">
        <v>65</v>
      </c>
      <c r="R33" s="20"/>
      <c r="S33" s="18" t="s">
        <v>63</v>
      </c>
      <c r="T33" s="62"/>
      <c r="U33" s="62"/>
      <c r="V33" s="62"/>
      <c r="W33" s="19" t="s">
        <v>65</v>
      </c>
      <c r="X33" s="20"/>
      <c r="Y33" s="20"/>
      <c r="Z33" s="20"/>
    </row>
    <row r="34" spans="1:26" x14ac:dyDescent="0.3">
      <c r="A34" s="21" t="s">
        <v>70</v>
      </c>
      <c r="B34" s="21">
        <v>0</v>
      </c>
      <c r="C34" s="22"/>
      <c r="D34" s="60"/>
      <c r="E34" s="60"/>
      <c r="F34" s="20"/>
      <c r="G34" s="21"/>
      <c r="H34" s="21"/>
      <c r="I34" s="22"/>
      <c r="J34" s="60"/>
      <c r="K34" s="60"/>
      <c r="L34" s="20"/>
      <c r="M34" s="21"/>
      <c r="N34" s="21"/>
      <c r="O34" s="22" t="s">
        <v>70</v>
      </c>
      <c r="P34" s="60">
        <v>0</v>
      </c>
      <c r="Q34" s="60"/>
      <c r="R34" s="20"/>
      <c r="S34" s="21"/>
      <c r="T34" s="21"/>
      <c r="U34" s="22"/>
      <c r="V34" s="60"/>
      <c r="W34" s="60"/>
      <c r="X34" s="20"/>
      <c r="Y34" s="20"/>
      <c r="Z34" s="20"/>
    </row>
    <row r="35" spans="1:26" x14ac:dyDescent="0.3">
      <c r="A35" s="21" t="s">
        <v>44</v>
      </c>
      <c r="B35" s="21">
        <v>20</v>
      </c>
      <c r="C35" s="22"/>
      <c r="D35" s="58"/>
      <c r="E35" s="58"/>
      <c r="F35" s="20"/>
      <c r="G35" s="21"/>
      <c r="H35" s="21"/>
      <c r="I35" s="22"/>
      <c r="J35" s="58"/>
      <c r="K35" s="58"/>
      <c r="L35" s="20"/>
      <c r="M35" s="21"/>
      <c r="N35" s="21"/>
      <c r="O35" s="22" t="s">
        <v>52</v>
      </c>
      <c r="P35" s="58">
        <v>250</v>
      </c>
      <c r="Q35" s="58"/>
      <c r="R35" s="20"/>
      <c r="S35" s="21"/>
      <c r="T35" s="21"/>
      <c r="U35" s="22"/>
      <c r="V35" s="58"/>
      <c r="W35" s="58"/>
      <c r="X35" s="20"/>
      <c r="Y35" s="20"/>
      <c r="Z35" s="20"/>
    </row>
    <row r="36" spans="1:26" x14ac:dyDescent="0.3">
      <c r="A36" s="21"/>
      <c r="B36" s="21"/>
      <c r="C36" s="22"/>
      <c r="D36" s="58"/>
      <c r="E36" s="58"/>
      <c r="F36" s="20"/>
      <c r="G36" s="21"/>
      <c r="H36" s="21"/>
      <c r="I36" s="22"/>
      <c r="J36" s="58"/>
      <c r="K36" s="58"/>
      <c r="L36" s="20"/>
      <c r="M36" s="21"/>
      <c r="N36" s="21"/>
      <c r="O36" s="22"/>
      <c r="P36" s="58"/>
      <c r="Q36" s="58"/>
      <c r="R36" s="20"/>
      <c r="S36" s="21"/>
      <c r="T36" s="21"/>
      <c r="U36" s="22"/>
      <c r="V36" s="58"/>
      <c r="W36" s="58"/>
      <c r="X36" s="20"/>
      <c r="Y36" s="20"/>
      <c r="Z36" s="20"/>
    </row>
    <row r="37" spans="1:26" x14ac:dyDescent="0.3">
      <c r="A37" s="21"/>
      <c r="B37" s="21"/>
      <c r="C37" s="22"/>
      <c r="D37" s="58"/>
      <c r="E37" s="58"/>
      <c r="F37" s="20"/>
      <c r="G37" s="21"/>
      <c r="H37" s="21"/>
      <c r="I37" s="22"/>
      <c r="J37" s="58"/>
      <c r="K37" s="58"/>
      <c r="L37" s="20"/>
      <c r="M37" s="21"/>
      <c r="N37" s="21"/>
      <c r="O37" s="22"/>
      <c r="P37" s="58"/>
      <c r="Q37" s="58"/>
      <c r="R37" s="20"/>
      <c r="S37" s="21"/>
      <c r="T37" s="21"/>
      <c r="U37" s="22"/>
      <c r="V37" s="58"/>
      <c r="W37" s="58"/>
      <c r="X37" s="20"/>
      <c r="Y37" s="20"/>
      <c r="Z37" s="20"/>
    </row>
    <row r="38" spans="1:26" x14ac:dyDescent="0.3">
      <c r="A38" s="21"/>
      <c r="B38" s="21"/>
      <c r="C38" s="22"/>
      <c r="D38" s="58"/>
      <c r="E38" s="58"/>
      <c r="F38" s="20"/>
      <c r="G38" s="21"/>
      <c r="H38" s="21"/>
      <c r="I38" s="22"/>
      <c r="J38" s="58"/>
      <c r="K38" s="58"/>
      <c r="L38" s="20"/>
      <c r="M38" s="21"/>
      <c r="N38" s="21"/>
      <c r="O38" s="22"/>
      <c r="P38" s="58"/>
      <c r="Q38" s="58"/>
      <c r="R38" s="20"/>
      <c r="S38" s="21"/>
      <c r="T38" s="21"/>
      <c r="U38" s="22"/>
      <c r="V38" s="58"/>
      <c r="W38" s="58"/>
      <c r="X38" s="20"/>
      <c r="Y38" s="20"/>
      <c r="Z38" s="20"/>
    </row>
    <row r="39" spans="1:26" ht="15" thickBot="1" x14ac:dyDescent="0.35">
      <c r="A39" s="23"/>
      <c r="B39" s="23"/>
      <c r="C39" s="24"/>
      <c r="D39" s="59"/>
      <c r="E39" s="59"/>
      <c r="F39" s="20"/>
      <c r="G39" s="23"/>
      <c r="H39" s="23"/>
      <c r="I39" s="24"/>
      <c r="J39" s="59"/>
      <c r="K39" s="59"/>
      <c r="L39" s="20"/>
      <c r="M39" s="23"/>
      <c r="N39" s="23"/>
      <c r="O39" s="24"/>
      <c r="P39" s="59"/>
      <c r="Q39" s="59"/>
      <c r="R39" s="20"/>
      <c r="S39" s="23"/>
      <c r="T39" s="23"/>
      <c r="U39" s="24"/>
      <c r="V39" s="59"/>
      <c r="W39" s="59"/>
      <c r="X39" s="20"/>
      <c r="Y39" s="20"/>
      <c r="Z39" s="20"/>
    </row>
    <row r="40" spans="1:26" ht="15" thickBot="1" x14ac:dyDescent="0.35">
      <c r="A40" s="18" t="s">
        <v>65</v>
      </c>
      <c r="B40" s="23">
        <v>20</v>
      </c>
      <c r="C40" s="18" t="s">
        <v>65</v>
      </c>
      <c r="D40" s="56"/>
      <c r="E40" s="56"/>
      <c r="F40" s="20"/>
      <c r="G40" s="18"/>
      <c r="H40" s="23"/>
      <c r="I40" s="24"/>
      <c r="J40" s="56"/>
      <c r="K40" s="56"/>
      <c r="L40" s="20"/>
      <c r="M40" s="18" t="s">
        <v>65</v>
      </c>
      <c r="N40" s="23"/>
      <c r="O40" s="18" t="s">
        <v>65</v>
      </c>
      <c r="P40" s="56">
        <v>250</v>
      </c>
      <c r="Q40" s="56"/>
      <c r="R40" s="20"/>
      <c r="S40" s="18"/>
      <c r="T40" s="23"/>
      <c r="U40" s="24"/>
      <c r="V40" s="56"/>
      <c r="W40" s="56"/>
      <c r="X40" s="20"/>
      <c r="Y40" s="20"/>
      <c r="Z40" s="20"/>
    </row>
    <row r="41" spans="1:26" x14ac:dyDescent="0.3">
      <c r="A41" s="20" t="s">
        <v>67</v>
      </c>
      <c r="B41" s="20">
        <v>20</v>
      </c>
      <c r="C41" s="25"/>
      <c r="D41" s="57"/>
      <c r="E41" s="57"/>
      <c r="F41" s="20"/>
      <c r="G41" s="20"/>
      <c r="H41" s="20"/>
      <c r="I41" s="25"/>
      <c r="J41" s="57"/>
      <c r="K41" s="57"/>
      <c r="L41" s="20"/>
      <c r="M41" s="20"/>
      <c r="N41" s="20"/>
      <c r="O41" s="20" t="s">
        <v>67</v>
      </c>
      <c r="P41" s="57"/>
      <c r="Q41" s="57"/>
      <c r="R41" s="20"/>
      <c r="S41" s="20"/>
      <c r="T41" s="20"/>
      <c r="U41" s="25"/>
      <c r="V41" s="57"/>
      <c r="W41" s="57"/>
    </row>
  </sheetData>
  <mergeCells count="143">
    <mergeCell ref="D5:E5"/>
    <mergeCell ref="J5:K5"/>
    <mergeCell ref="P5:Q5"/>
    <mergeCell ref="V5:W5"/>
    <mergeCell ref="D6:E6"/>
    <mergeCell ref="J6:K6"/>
    <mergeCell ref="P6:Q6"/>
    <mergeCell ref="V6:W6"/>
    <mergeCell ref="H3:J3"/>
    <mergeCell ref="N3:P3"/>
    <mergeCell ref="T3:V3"/>
    <mergeCell ref="D4:E4"/>
    <mergeCell ref="J4:K4"/>
    <mergeCell ref="P4:Q4"/>
    <mergeCell ref="V4:W4"/>
    <mergeCell ref="D9:E9"/>
    <mergeCell ref="J9:K9"/>
    <mergeCell ref="P9:Q9"/>
    <mergeCell ref="V9:W9"/>
    <mergeCell ref="D10:E10"/>
    <mergeCell ref="J10:K10"/>
    <mergeCell ref="P10:Q10"/>
    <mergeCell ref="V10:W10"/>
    <mergeCell ref="D7:E7"/>
    <mergeCell ref="J7:K7"/>
    <mergeCell ref="P7:Q7"/>
    <mergeCell ref="V7:W7"/>
    <mergeCell ref="D8:E8"/>
    <mergeCell ref="J8:K8"/>
    <mergeCell ref="P8:Q8"/>
    <mergeCell ref="V8:W8"/>
    <mergeCell ref="D14:E14"/>
    <mergeCell ref="J14:K14"/>
    <mergeCell ref="P14:Q14"/>
    <mergeCell ref="V14:W14"/>
    <mergeCell ref="D15:E15"/>
    <mergeCell ref="J15:K15"/>
    <mergeCell ref="P15:Q15"/>
    <mergeCell ref="V15:W15"/>
    <mergeCell ref="D11:E11"/>
    <mergeCell ref="J11:K11"/>
    <mergeCell ref="P11:Q11"/>
    <mergeCell ref="V11:W11"/>
    <mergeCell ref="B13:D13"/>
    <mergeCell ref="H13:J13"/>
    <mergeCell ref="N13:P13"/>
    <mergeCell ref="T13:V13"/>
    <mergeCell ref="D18:E18"/>
    <mergeCell ref="J18:K18"/>
    <mergeCell ref="P18:Q18"/>
    <mergeCell ref="V18:W18"/>
    <mergeCell ref="D19:E19"/>
    <mergeCell ref="J19:K19"/>
    <mergeCell ref="P19:Q19"/>
    <mergeCell ref="V19:W19"/>
    <mergeCell ref="D16:E16"/>
    <mergeCell ref="J16:K16"/>
    <mergeCell ref="P16:Q16"/>
    <mergeCell ref="V16:W16"/>
    <mergeCell ref="D17:E17"/>
    <mergeCell ref="J17:K17"/>
    <mergeCell ref="P17:Q17"/>
    <mergeCell ref="V17:W17"/>
    <mergeCell ref="B23:D23"/>
    <mergeCell ref="H23:J23"/>
    <mergeCell ref="N23:P23"/>
    <mergeCell ref="T23:V23"/>
    <mergeCell ref="D24:E24"/>
    <mergeCell ref="J24:K24"/>
    <mergeCell ref="P24:Q24"/>
    <mergeCell ref="V24:W24"/>
    <mergeCell ref="D20:E20"/>
    <mergeCell ref="J20:K20"/>
    <mergeCell ref="P20:Q20"/>
    <mergeCell ref="V20:W20"/>
    <mergeCell ref="D21:E21"/>
    <mergeCell ref="J21:K21"/>
    <mergeCell ref="P21:Q21"/>
    <mergeCell ref="V21:W21"/>
    <mergeCell ref="D27:E27"/>
    <mergeCell ref="J27:K27"/>
    <mergeCell ref="P27:Q27"/>
    <mergeCell ref="V27:W27"/>
    <mergeCell ref="D28:E28"/>
    <mergeCell ref="J28:K28"/>
    <mergeCell ref="P28:Q28"/>
    <mergeCell ref="V28:W28"/>
    <mergeCell ref="D25:E25"/>
    <mergeCell ref="J25:K25"/>
    <mergeCell ref="P25:Q25"/>
    <mergeCell ref="V25:W25"/>
    <mergeCell ref="D26:E26"/>
    <mergeCell ref="J26:K26"/>
    <mergeCell ref="P26:Q26"/>
    <mergeCell ref="V26:W26"/>
    <mergeCell ref="D31:E31"/>
    <mergeCell ref="J31:K31"/>
    <mergeCell ref="P31:Q31"/>
    <mergeCell ref="V31:W31"/>
    <mergeCell ref="B33:D33"/>
    <mergeCell ref="H33:J33"/>
    <mergeCell ref="N33:P33"/>
    <mergeCell ref="T33:V33"/>
    <mergeCell ref="D29:E29"/>
    <mergeCell ref="J29:K29"/>
    <mergeCell ref="P29:Q29"/>
    <mergeCell ref="V29:W29"/>
    <mergeCell ref="D30:E30"/>
    <mergeCell ref="J30:K30"/>
    <mergeCell ref="P30:Q30"/>
    <mergeCell ref="V30:W30"/>
    <mergeCell ref="D36:E36"/>
    <mergeCell ref="J36:K36"/>
    <mergeCell ref="P36:Q36"/>
    <mergeCell ref="V36:W36"/>
    <mergeCell ref="D37:E37"/>
    <mergeCell ref="J37:K37"/>
    <mergeCell ref="P37:Q37"/>
    <mergeCell ref="V37:W37"/>
    <mergeCell ref="D34:E34"/>
    <mergeCell ref="J34:K34"/>
    <mergeCell ref="P34:Q34"/>
    <mergeCell ref="V34:W34"/>
    <mergeCell ref="D35:E35"/>
    <mergeCell ref="J35:K35"/>
    <mergeCell ref="P35:Q35"/>
    <mergeCell ref="V35:W35"/>
    <mergeCell ref="D40:E40"/>
    <mergeCell ref="J40:K40"/>
    <mergeCell ref="P40:Q40"/>
    <mergeCell ref="V40:W40"/>
    <mergeCell ref="D41:E41"/>
    <mergeCell ref="J41:K41"/>
    <mergeCell ref="P41:Q41"/>
    <mergeCell ref="V41:W41"/>
    <mergeCell ref="D38:E38"/>
    <mergeCell ref="J38:K38"/>
    <mergeCell ref="P38:Q38"/>
    <mergeCell ref="V38:W38"/>
    <mergeCell ref="D39:E39"/>
    <mergeCell ref="J39:K39"/>
    <mergeCell ref="P39:Q39"/>
    <mergeCell ref="V39:W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EA18-0373-4271-8B81-BAC730300A23}">
  <dimension ref="A1:D35"/>
  <sheetViews>
    <sheetView workbookViewId="0">
      <selection activeCell="G9" sqref="G9"/>
    </sheetView>
  </sheetViews>
  <sheetFormatPr defaultRowHeight="14.4" x14ac:dyDescent="0.3"/>
  <cols>
    <col min="1" max="1" width="33.44140625" customWidth="1"/>
    <col min="2" max="2" width="9" bestFit="1" customWidth="1"/>
    <col min="3" max="3" width="36.44140625" customWidth="1"/>
    <col min="257" max="257" width="33.44140625" customWidth="1"/>
    <col min="258" max="258" width="9" bestFit="1" customWidth="1"/>
    <col min="259" max="259" width="36.44140625" customWidth="1"/>
    <col min="513" max="513" width="33.44140625" customWidth="1"/>
    <col min="514" max="514" width="9" bestFit="1" customWidth="1"/>
    <col min="515" max="515" width="36.44140625" customWidth="1"/>
    <col min="769" max="769" width="33.44140625" customWidth="1"/>
    <col min="770" max="770" width="9" bestFit="1" customWidth="1"/>
    <col min="771" max="771" width="36.44140625" customWidth="1"/>
    <col min="1025" max="1025" width="33.44140625" customWidth="1"/>
    <col min="1026" max="1026" width="9" bestFit="1" customWidth="1"/>
    <col min="1027" max="1027" width="36.44140625" customWidth="1"/>
    <col min="1281" max="1281" width="33.44140625" customWidth="1"/>
    <col min="1282" max="1282" width="9" bestFit="1" customWidth="1"/>
    <col min="1283" max="1283" width="36.44140625" customWidth="1"/>
    <col min="1537" max="1537" width="33.44140625" customWidth="1"/>
    <col min="1538" max="1538" width="9" bestFit="1" customWidth="1"/>
    <col min="1539" max="1539" width="36.44140625" customWidth="1"/>
    <col min="1793" max="1793" width="33.44140625" customWidth="1"/>
    <col min="1794" max="1794" width="9" bestFit="1" customWidth="1"/>
    <col min="1795" max="1795" width="36.44140625" customWidth="1"/>
    <col min="2049" max="2049" width="33.44140625" customWidth="1"/>
    <col min="2050" max="2050" width="9" bestFit="1" customWidth="1"/>
    <col min="2051" max="2051" width="36.44140625" customWidth="1"/>
    <col min="2305" max="2305" width="33.44140625" customWidth="1"/>
    <col min="2306" max="2306" width="9" bestFit="1" customWidth="1"/>
    <col min="2307" max="2307" width="36.44140625" customWidth="1"/>
    <col min="2561" max="2561" width="33.44140625" customWidth="1"/>
    <col min="2562" max="2562" width="9" bestFit="1" customWidth="1"/>
    <col min="2563" max="2563" width="36.44140625" customWidth="1"/>
    <col min="2817" max="2817" width="33.44140625" customWidth="1"/>
    <col min="2818" max="2818" width="9" bestFit="1" customWidth="1"/>
    <col min="2819" max="2819" width="36.44140625" customWidth="1"/>
    <col min="3073" max="3073" width="33.44140625" customWidth="1"/>
    <col min="3074" max="3074" width="9" bestFit="1" customWidth="1"/>
    <col min="3075" max="3075" width="36.44140625" customWidth="1"/>
    <col min="3329" max="3329" width="33.44140625" customWidth="1"/>
    <col min="3330" max="3330" width="9" bestFit="1" customWidth="1"/>
    <col min="3331" max="3331" width="36.44140625" customWidth="1"/>
    <col min="3585" max="3585" width="33.44140625" customWidth="1"/>
    <col min="3586" max="3586" width="9" bestFit="1" customWidth="1"/>
    <col min="3587" max="3587" width="36.44140625" customWidth="1"/>
    <col min="3841" max="3841" width="33.44140625" customWidth="1"/>
    <col min="3842" max="3842" width="9" bestFit="1" customWidth="1"/>
    <col min="3843" max="3843" width="36.44140625" customWidth="1"/>
    <col min="4097" max="4097" width="33.44140625" customWidth="1"/>
    <col min="4098" max="4098" width="9" bestFit="1" customWidth="1"/>
    <col min="4099" max="4099" width="36.44140625" customWidth="1"/>
    <col min="4353" max="4353" width="33.44140625" customWidth="1"/>
    <col min="4354" max="4354" width="9" bestFit="1" customWidth="1"/>
    <col min="4355" max="4355" width="36.44140625" customWidth="1"/>
    <col min="4609" max="4609" width="33.44140625" customWidth="1"/>
    <col min="4610" max="4610" width="9" bestFit="1" customWidth="1"/>
    <col min="4611" max="4611" width="36.44140625" customWidth="1"/>
    <col min="4865" max="4865" width="33.44140625" customWidth="1"/>
    <col min="4866" max="4866" width="9" bestFit="1" customWidth="1"/>
    <col min="4867" max="4867" width="36.44140625" customWidth="1"/>
    <col min="5121" max="5121" width="33.44140625" customWidth="1"/>
    <col min="5122" max="5122" width="9" bestFit="1" customWidth="1"/>
    <col min="5123" max="5123" width="36.44140625" customWidth="1"/>
    <col min="5377" max="5377" width="33.44140625" customWidth="1"/>
    <col min="5378" max="5378" width="9" bestFit="1" customWidth="1"/>
    <col min="5379" max="5379" width="36.44140625" customWidth="1"/>
    <col min="5633" max="5633" width="33.44140625" customWidth="1"/>
    <col min="5634" max="5634" width="9" bestFit="1" customWidth="1"/>
    <col min="5635" max="5635" width="36.44140625" customWidth="1"/>
    <col min="5889" max="5889" width="33.44140625" customWidth="1"/>
    <col min="5890" max="5890" width="9" bestFit="1" customWidth="1"/>
    <col min="5891" max="5891" width="36.44140625" customWidth="1"/>
    <col min="6145" max="6145" width="33.44140625" customWidth="1"/>
    <col min="6146" max="6146" width="9" bestFit="1" customWidth="1"/>
    <col min="6147" max="6147" width="36.44140625" customWidth="1"/>
    <col min="6401" max="6401" width="33.44140625" customWidth="1"/>
    <col min="6402" max="6402" width="9" bestFit="1" customWidth="1"/>
    <col min="6403" max="6403" width="36.44140625" customWidth="1"/>
    <col min="6657" max="6657" width="33.44140625" customWidth="1"/>
    <col min="6658" max="6658" width="9" bestFit="1" customWidth="1"/>
    <col min="6659" max="6659" width="36.44140625" customWidth="1"/>
    <col min="6913" max="6913" width="33.44140625" customWidth="1"/>
    <col min="6914" max="6914" width="9" bestFit="1" customWidth="1"/>
    <col min="6915" max="6915" width="36.44140625" customWidth="1"/>
    <col min="7169" max="7169" width="33.44140625" customWidth="1"/>
    <col min="7170" max="7170" width="9" bestFit="1" customWidth="1"/>
    <col min="7171" max="7171" width="36.44140625" customWidth="1"/>
    <col min="7425" max="7425" width="33.44140625" customWidth="1"/>
    <col min="7426" max="7426" width="9" bestFit="1" customWidth="1"/>
    <col min="7427" max="7427" width="36.44140625" customWidth="1"/>
    <col min="7681" max="7681" width="33.44140625" customWidth="1"/>
    <col min="7682" max="7682" width="9" bestFit="1" customWidth="1"/>
    <col min="7683" max="7683" width="36.44140625" customWidth="1"/>
    <col min="7937" max="7937" width="33.44140625" customWidth="1"/>
    <col min="7938" max="7938" width="9" bestFit="1" customWidth="1"/>
    <col min="7939" max="7939" width="36.44140625" customWidth="1"/>
    <col min="8193" max="8193" width="33.44140625" customWidth="1"/>
    <col min="8194" max="8194" width="9" bestFit="1" customWidth="1"/>
    <col min="8195" max="8195" width="36.44140625" customWidth="1"/>
    <col min="8449" max="8449" width="33.44140625" customWidth="1"/>
    <col min="8450" max="8450" width="9" bestFit="1" customWidth="1"/>
    <col min="8451" max="8451" width="36.44140625" customWidth="1"/>
    <col min="8705" max="8705" width="33.44140625" customWidth="1"/>
    <col min="8706" max="8706" width="9" bestFit="1" customWidth="1"/>
    <col min="8707" max="8707" width="36.44140625" customWidth="1"/>
    <col min="8961" max="8961" width="33.44140625" customWidth="1"/>
    <col min="8962" max="8962" width="9" bestFit="1" customWidth="1"/>
    <col min="8963" max="8963" width="36.44140625" customWidth="1"/>
    <col min="9217" max="9217" width="33.44140625" customWidth="1"/>
    <col min="9218" max="9218" width="9" bestFit="1" customWidth="1"/>
    <col min="9219" max="9219" width="36.44140625" customWidth="1"/>
    <col min="9473" max="9473" width="33.44140625" customWidth="1"/>
    <col min="9474" max="9474" width="9" bestFit="1" customWidth="1"/>
    <col min="9475" max="9475" width="36.44140625" customWidth="1"/>
    <col min="9729" max="9729" width="33.44140625" customWidth="1"/>
    <col min="9730" max="9730" width="9" bestFit="1" customWidth="1"/>
    <col min="9731" max="9731" width="36.44140625" customWidth="1"/>
    <col min="9985" max="9985" width="33.44140625" customWidth="1"/>
    <col min="9986" max="9986" width="9" bestFit="1" customWidth="1"/>
    <col min="9987" max="9987" width="36.44140625" customWidth="1"/>
    <col min="10241" max="10241" width="33.44140625" customWidth="1"/>
    <col min="10242" max="10242" width="9" bestFit="1" customWidth="1"/>
    <col min="10243" max="10243" width="36.44140625" customWidth="1"/>
    <col min="10497" max="10497" width="33.44140625" customWidth="1"/>
    <col min="10498" max="10498" width="9" bestFit="1" customWidth="1"/>
    <col min="10499" max="10499" width="36.44140625" customWidth="1"/>
    <col min="10753" max="10753" width="33.44140625" customWidth="1"/>
    <col min="10754" max="10754" width="9" bestFit="1" customWidth="1"/>
    <col min="10755" max="10755" width="36.44140625" customWidth="1"/>
    <col min="11009" max="11009" width="33.44140625" customWidth="1"/>
    <col min="11010" max="11010" width="9" bestFit="1" customWidth="1"/>
    <col min="11011" max="11011" width="36.44140625" customWidth="1"/>
    <col min="11265" max="11265" width="33.44140625" customWidth="1"/>
    <col min="11266" max="11266" width="9" bestFit="1" customWidth="1"/>
    <col min="11267" max="11267" width="36.44140625" customWidth="1"/>
    <col min="11521" max="11521" width="33.44140625" customWidth="1"/>
    <col min="11522" max="11522" width="9" bestFit="1" customWidth="1"/>
    <col min="11523" max="11523" width="36.44140625" customWidth="1"/>
    <col min="11777" max="11777" width="33.44140625" customWidth="1"/>
    <col min="11778" max="11778" width="9" bestFit="1" customWidth="1"/>
    <col min="11779" max="11779" width="36.44140625" customWidth="1"/>
    <col min="12033" max="12033" width="33.44140625" customWidth="1"/>
    <col min="12034" max="12034" width="9" bestFit="1" customWidth="1"/>
    <col min="12035" max="12035" width="36.44140625" customWidth="1"/>
    <col min="12289" max="12289" width="33.44140625" customWidth="1"/>
    <col min="12290" max="12290" width="9" bestFit="1" customWidth="1"/>
    <col min="12291" max="12291" width="36.44140625" customWidth="1"/>
    <col min="12545" max="12545" width="33.44140625" customWidth="1"/>
    <col min="12546" max="12546" width="9" bestFit="1" customWidth="1"/>
    <col min="12547" max="12547" width="36.44140625" customWidth="1"/>
    <col min="12801" max="12801" width="33.44140625" customWidth="1"/>
    <col min="12802" max="12802" width="9" bestFit="1" customWidth="1"/>
    <col min="12803" max="12803" width="36.44140625" customWidth="1"/>
    <col min="13057" max="13057" width="33.44140625" customWidth="1"/>
    <col min="13058" max="13058" width="9" bestFit="1" customWidth="1"/>
    <col min="13059" max="13059" width="36.44140625" customWidth="1"/>
    <col min="13313" max="13313" width="33.44140625" customWidth="1"/>
    <col min="13314" max="13314" width="9" bestFit="1" customWidth="1"/>
    <col min="13315" max="13315" width="36.44140625" customWidth="1"/>
    <col min="13569" max="13569" width="33.44140625" customWidth="1"/>
    <col min="13570" max="13570" width="9" bestFit="1" customWidth="1"/>
    <col min="13571" max="13571" width="36.44140625" customWidth="1"/>
    <col min="13825" max="13825" width="33.44140625" customWidth="1"/>
    <col min="13826" max="13826" width="9" bestFit="1" customWidth="1"/>
    <col min="13827" max="13827" width="36.44140625" customWidth="1"/>
    <col min="14081" max="14081" width="33.44140625" customWidth="1"/>
    <col min="14082" max="14082" width="9" bestFit="1" customWidth="1"/>
    <col min="14083" max="14083" width="36.44140625" customWidth="1"/>
    <col min="14337" max="14337" width="33.44140625" customWidth="1"/>
    <col min="14338" max="14338" width="9" bestFit="1" customWidth="1"/>
    <col min="14339" max="14339" width="36.44140625" customWidth="1"/>
    <col min="14593" max="14593" width="33.44140625" customWidth="1"/>
    <col min="14594" max="14594" width="9" bestFit="1" customWidth="1"/>
    <col min="14595" max="14595" width="36.44140625" customWidth="1"/>
    <col min="14849" max="14849" width="33.44140625" customWidth="1"/>
    <col min="14850" max="14850" width="9" bestFit="1" customWidth="1"/>
    <col min="14851" max="14851" width="36.44140625" customWidth="1"/>
    <col min="15105" max="15105" width="33.44140625" customWidth="1"/>
    <col min="15106" max="15106" width="9" bestFit="1" customWidth="1"/>
    <col min="15107" max="15107" width="36.44140625" customWidth="1"/>
    <col min="15361" max="15361" width="33.44140625" customWidth="1"/>
    <col min="15362" max="15362" width="9" bestFit="1" customWidth="1"/>
    <col min="15363" max="15363" width="36.44140625" customWidth="1"/>
    <col min="15617" max="15617" width="33.44140625" customWidth="1"/>
    <col min="15618" max="15618" width="9" bestFit="1" customWidth="1"/>
    <col min="15619" max="15619" width="36.44140625" customWidth="1"/>
    <col min="15873" max="15873" width="33.44140625" customWidth="1"/>
    <col min="15874" max="15874" width="9" bestFit="1" customWidth="1"/>
    <col min="15875" max="15875" width="36.44140625" customWidth="1"/>
    <col min="16129" max="16129" width="33.44140625" customWidth="1"/>
    <col min="16130" max="16130" width="9" bestFit="1" customWidth="1"/>
    <col min="16131" max="16131" width="36.44140625" customWidth="1"/>
  </cols>
  <sheetData>
    <row r="1" spans="1:4" ht="17.399999999999999" x14ac:dyDescent="0.3">
      <c r="A1" s="1" t="s">
        <v>0</v>
      </c>
    </row>
    <row r="2" spans="1:4" ht="21" x14ac:dyDescent="0.5">
      <c r="A2" s="2" t="s">
        <v>1</v>
      </c>
      <c r="B2" s="3"/>
    </row>
    <row r="3" spans="1:4" ht="21" x14ac:dyDescent="0.5">
      <c r="A3" s="3"/>
      <c r="B3" s="3"/>
    </row>
    <row r="4" spans="1:4" ht="16.2" x14ac:dyDescent="0.3">
      <c r="A4" s="4" t="s">
        <v>3</v>
      </c>
      <c r="B4" s="4" t="s">
        <v>4</v>
      </c>
      <c r="C4" s="4" t="s">
        <v>5</v>
      </c>
      <c r="D4" s="4" t="s">
        <v>4</v>
      </c>
    </row>
    <row r="5" spans="1:4" ht="16.2" x14ac:dyDescent="0.3">
      <c r="A5" s="4" t="s">
        <v>7</v>
      </c>
      <c r="B5" s="4"/>
      <c r="C5" s="4" t="s">
        <v>8</v>
      </c>
      <c r="D5" s="4"/>
    </row>
    <row r="6" spans="1:4" ht="16.2" x14ac:dyDescent="0.3">
      <c r="A6" s="26" t="s">
        <v>10</v>
      </c>
      <c r="B6" s="4">
        <v>30</v>
      </c>
      <c r="C6" s="4" t="s">
        <v>11</v>
      </c>
      <c r="D6" s="4"/>
    </row>
    <row r="7" spans="1:4" ht="16.2" x14ac:dyDescent="0.3">
      <c r="A7" s="27" t="s">
        <v>25</v>
      </c>
      <c r="B7" s="4">
        <v>20</v>
      </c>
      <c r="C7" s="27" t="s">
        <v>34</v>
      </c>
      <c r="D7" s="4">
        <v>250</v>
      </c>
    </row>
    <row r="8" spans="1:4" ht="16.2" x14ac:dyDescent="0.3">
      <c r="A8" s="27" t="s">
        <v>13</v>
      </c>
      <c r="B8" s="4">
        <v>500</v>
      </c>
      <c r="C8" s="27"/>
      <c r="D8" s="4"/>
    </row>
    <row r="9" spans="1:4" ht="16.2" x14ac:dyDescent="0.3">
      <c r="A9" s="4"/>
      <c r="B9" s="4"/>
      <c r="C9" s="27"/>
      <c r="D9" s="27"/>
    </row>
    <row r="10" spans="1:4" ht="16.2" x14ac:dyDescent="0.3">
      <c r="A10" s="4"/>
      <c r="B10" s="4"/>
      <c r="C10" s="4"/>
      <c r="D10" s="4"/>
    </row>
    <row r="11" spans="1:4" ht="16.2" x14ac:dyDescent="0.3">
      <c r="A11" s="4"/>
      <c r="B11" s="4"/>
      <c r="C11" s="4"/>
      <c r="D11" s="4"/>
    </row>
    <row r="12" spans="1:4" ht="16.2" x14ac:dyDescent="0.3">
      <c r="A12" s="4"/>
      <c r="B12" s="4"/>
      <c r="C12" s="4"/>
      <c r="D12" s="4"/>
    </row>
    <row r="13" spans="1:4" ht="16.2" x14ac:dyDescent="0.3">
      <c r="A13" s="4"/>
      <c r="B13" s="4"/>
      <c r="C13" s="4"/>
      <c r="D13" s="4"/>
    </row>
    <row r="14" spans="1:4" ht="16.2" x14ac:dyDescent="0.3">
      <c r="A14" s="4"/>
      <c r="B14" s="4"/>
      <c r="C14" s="4"/>
      <c r="D14" s="4"/>
    </row>
    <row r="15" spans="1:4" ht="16.8" thickBot="1" x14ac:dyDescent="0.35">
      <c r="A15" s="6"/>
      <c r="B15" s="6"/>
      <c r="C15" s="6"/>
      <c r="D15" s="6"/>
    </row>
    <row r="16" spans="1:4" ht="16.8" thickBot="1" x14ac:dyDescent="0.35">
      <c r="A16" s="7" t="s">
        <v>26</v>
      </c>
      <c r="B16" s="8">
        <f>SUM(B6:B15)</f>
        <v>550</v>
      </c>
      <c r="C16" s="7" t="s">
        <v>27</v>
      </c>
      <c r="D16" s="8">
        <f>SUM(D7:D15)</f>
        <v>250</v>
      </c>
    </row>
    <row r="17" spans="1:4" ht="16.2" x14ac:dyDescent="0.3">
      <c r="A17" s="9" t="s">
        <v>29</v>
      </c>
      <c r="B17" s="9"/>
      <c r="C17" s="9" t="s">
        <v>30</v>
      </c>
      <c r="D17" s="9"/>
    </row>
    <row r="18" spans="1:4" ht="16.2" x14ac:dyDescent="0.3">
      <c r="A18" s="27" t="s">
        <v>32</v>
      </c>
      <c r="B18" s="4">
        <v>200</v>
      </c>
      <c r="C18" s="28" t="s">
        <v>33</v>
      </c>
      <c r="D18" s="4">
        <v>100</v>
      </c>
    </row>
    <row r="19" spans="1:4" ht="16.2" x14ac:dyDescent="0.3">
      <c r="A19" s="4"/>
      <c r="B19" s="4"/>
      <c r="C19" s="4"/>
      <c r="D19" s="4"/>
    </row>
    <row r="20" spans="1:4" ht="16.2" x14ac:dyDescent="0.3">
      <c r="A20" s="4"/>
      <c r="B20" s="4"/>
      <c r="C20" s="4"/>
      <c r="D20" s="4"/>
    </row>
    <row r="21" spans="1:4" ht="16.2" x14ac:dyDescent="0.3">
      <c r="A21" s="4"/>
      <c r="B21" s="4"/>
      <c r="C21" s="4"/>
      <c r="D21" s="4"/>
    </row>
    <row r="22" spans="1:4" ht="16.2" x14ac:dyDescent="0.3">
      <c r="A22" s="4"/>
      <c r="B22" s="4"/>
      <c r="C22" s="4"/>
      <c r="D22" s="4"/>
    </row>
    <row r="23" spans="1:4" ht="16.2" x14ac:dyDescent="0.3">
      <c r="A23" s="4"/>
      <c r="B23" s="4"/>
      <c r="C23" s="4"/>
      <c r="D23" s="4"/>
    </row>
    <row r="24" spans="1:4" ht="16.8" thickBot="1" x14ac:dyDescent="0.35">
      <c r="A24" s="4"/>
      <c r="B24" s="4"/>
      <c r="C24" s="6"/>
      <c r="D24" s="6"/>
    </row>
    <row r="25" spans="1:4" ht="16.8" thickBot="1" x14ac:dyDescent="0.35">
      <c r="A25" s="4"/>
      <c r="B25" s="12"/>
      <c r="C25" s="7" t="s">
        <v>55</v>
      </c>
      <c r="D25" s="8">
        <f>SUM(D18:D24)</f>
        <v>100</v>
      </c>
    </row>
    <row r="26" spans="1:4" ht="16.8" thickBot="1" x14ac:dyDescent="0.35">
      <c r="A26" s="4"/>
      <c r="B26" s="12"/>
      <c r="C26" s="7" t="s">
        <v>56</v>
      </c>
      <c r="D26" s="8">
        <f>D25+D16</f>
        <v>350</v>
      </c>
    </row>
    <row r="27" spans="1:4" ht="16.2" x14ac:dyDescent="0.3">
      <c r="A27" s="4"/>
      <c r="B27" s="4"/>
      <c r="C27" s="9" t="s">
        <v>57</v>
      </c>
      <c r="D27" s="9"/>
    </row>
    <row r="28" spans="1:4" ht="16.2" x14ac:dyDescent="0.3">
      <c r="A28" s="4"/>
      <c r="B28" s="4"/>
      <c r="C28" t="s">
        <v>51</v>
      </c>
      <c r="D28" s="4">
        <v>400</v>
      </c>
    </row>
    <row r="29" spans="1:4" ht="16.2" x14ac:dyDescent="0.3">
      <c r="A29" s="4"/>
      <c r="B29" s="4"/>
      <c r="C29" s="4"/>
      <c r="D29" s="4"/>
    </row>
    <row r="30" spans="1:4" ht="16.2" x14ac:dyDescent="0.3">
      <c r="A30" s="4"/>
      <c r="B30" s="4"/>
      <c r="C30" s="4"/>
      <c r="D30" s="4"/>
    </row>
    <row r="31" spans="1:4" ht="16.2" x14ac:dyDescent="0.3">
      <c r="A31" s="4"/>
      <c r="B31" s="4"/>
      <c r="C31" s="4"/>
      <c r="D31" s="4"/>
    </row>
    <row r="32" spans="1:4" ht="16.2" x14ac:dyDescent="0.3">
      <c r="A32" s="4"/>
      <c r="B32" s="4"/>
      <c r="C32" s="4"/>
      <c r="D32" s="4"/>
    </row>
    <row r="33" spans="1:4" ht="16.8" thickBot="1" x14ac:dyDescent="0.35">
      <c r="A33" s="6"/>
      <c r="B33" s="6"/>
      <c r="C33" s="6"/>
      <c r="D33" s="6"/>
    </row>
    <row r="34" spans="1:4" ht="16.8" thickBot="1" x14ac:dyDescent="0.35">
      <c r="A34" s="7" t="s">
        <v>58</v>
      </c>
      <c r="B34" s="8">
        <f>SUM(B18:B33)</f>
        <v>200</v>
      </c>
      <c r="C34" s="7" t="s">
        <v>59</v>
      </c>
      <c r="D34" s="8">
        <f>SUM(D28:D33)</f>
        <v>400</v>
      </c>
    </row>
    <row r="35" spans="1:4" ht="16.8" thickBot="1" x14ac:dyDescent="0.35">
      <c r="A35" s="7" t="s">
        <v>60</v>
      </c>
      <c r="B35" s="8">
        <f>SUM(B34+B16)</f>
        <v>750</v>
      </c>
      <c r="C35" s="7" t="s">
        <v>61</v>
      </c>
      <c r="D35" s="8">
        <f>SUM(D34+D26)</f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6164-0944-4257-81B1-814860953AA6}">
  <dimension ref="A1:F25"/>
  <sheetViews>
    <sheetView zoomScale="78" workbookViewId="0">
      <selection activeCell="H8" sqref="H8"/>
    </sheetView>
  </sheetViews>
  <sheetFormatPr defaultRowHeight="14.4" x14ac:dyDescent="0.3"/>
  <cols>
    <col min="1" max="1" width="6.5546875" customWidth="1"/>
    <col min="2" max="2" width="8.6640625" customWidth="1"/>
    <col min="3" max="3" width="48.6640625" customWidth="1"/>
    <col min="4" max="4" width="38.44140625" customWidth="1"/>
    <col min="5" max="5" width="11.6640625" customWidth="1"/>
    <col min="6" max="6" width="11.44140625" bestFit="1" customWidth="1"/>
  </cols>
  <sheetData>
    <row r="1" spans="1:6" ht="20.399999999999999" thickBot="1" x14ac:dyDescent="0.55000000000000004">
      <c r="A1" s="81" t="s">
        <v>75</v>
      </c>
      <c r="B1" s="81"/>
      <c r="C1" s="81"/>
      <c r="D1" s="81"/>
      <c r="E1" s="81"/>
      <c r="F1" s="81"/>
    </row>
    <row r="2" spans="1:6" x14ac:dyDescent="0.3">
      <c r="A2" s="63" t="s">
        <v>76</v>
      </c>
      <c r="B2" s="65" t="s">
        <v>36</v>
      </c>
      <c r="C2" s="67" t="s">
        <v>77</v>
      </c>
      <c r="D2" s="69" t="s">
        <v>78</v>
      </c>
      <c r="E2" s="71" t="s">
        <v>4</v>
      </c>
      <c r="F2" s="72"/>
    </row>
    <row r="3" spans="1:6" x14ac:dyDescent="0.3">
      <c r="A3" s="64"/>
      <c r="B3" s="66"/>
      <c r="C3" s="68"/>
      <c r="D3" s="70"/>
      <c r="E3" s="29" t="s">
        <v>79</v>
      </c>
      <c r="F3" s="30" t="s">
        <v>80</v>
      </c>
    </row>
    <row r="4" spans="1:6" ht="15.6" x14ac:dyDescent="0.3">
      <c r="A4" s="27" t="s">
        <v>40</v>
      </c>
      <c r="B4" s="27" t="s">
        <v>41</v>
      </c>
      <c r="C4" s="27" t="s">
        <v>42</v>
      </c>
      <c r="D4" s="27" t="s">
        <v>32</v>
      </c>
      <c r="E4" s="27">
        <v>200</v>
      </c>
      <c r="F4" s="31"/>
    </row>
    <row r="5" spans="1:6" ht="15.6" x14ac:dyDescent="0.3">
      <c r="A5" s="27"/>
      <c r="B5" s="27"/>
      <c r="C5" s="27"/>
      <c r="D5" s="27" t="s">
        <v>39</v>
      </c>
      <c r="E5" s="31"/>
      <c r="F5" s="31">
        <v>200</v>
      </c>
    </row>
    <row r="6" spans="1:6" ht="15.6" x14ac:dyDescent="0.3">
      <c r="A6" s="27" t="s">
        <v>44</v>
      </c>
      <c r="B6" s="27" t="s">
        <v>45</v>
      </c>
      <c r="C6" s="27" t="s">
        <v>46</v>
      </c>
      <c r="D6" s="27" t="s">
        <v>25</v>
      </c>
      <c r="E6" s="31">
        <v>20</v>
      </c>
      <c r="F6" s="31"/>
    </row>
    <row r="7" spans="1:6" ht="15.6" x14ac:dyDescent="0.3">
      <c r="A7" s="32"/>
      <c r="B7" s="32"/>
      <c r="C7" s="28"/>
      <c r="D7" s="27" t="s">
        <v>10</v>
      </c>
      <c r="E7" s="31"/>
      <c r="F7" s="31">
        <v>20</v>
      </c>
    </row>
    <row r="8" spans="1:6" ht="28.8" x14ac:dyDescent="0.3">
      <c r="A8" s="27" t="s">
        <v>48</v>
      </c>
      <c r="B8" s="27" t="s">
        <v>49</v>
      </c>
      <c r="C8" s="33" t="s">
        <v>50</v>
      </c>
      <c r="D8" s="27" t="s">
        <v>39</v>
      </c>
      <c r="E8" s="31">
        <v>200</v>
      </c>
      <c r="F8" s="31"/>
    </row>
    <row r="9" spans="1:6" ht="15.6" x14ac:dyDescent="0.3">
      <c r="A9" s="27"/>
      <c r="B9" s="27"/>
      <c r="C9" s="33"/>
      <c r="D9" s="27" t="s">
        <v>13</v>
      </c>
      <c r="E9" s="31"/>
      <c r="F9" s="34">
        <v>200</v>
      </c>
    </row>
    <row r="10" spans="1:6" ht="15.6" x14ac:dyDescent="0.3">
      <c r="A10" s="32">
        <v>4</v>
      </c>
      <c r="B10" s="32" t="s">
        <v>49</v>
      </c>
      <c r="C10" s="28" t="s">
        <v>53</v>
      </c>
      <c r="D10" s="28" t="s">
        <v>33</v>
      </c>
      <c r="E10" s="31">
        <v>250</v>
      </c>
      <c r="F10" s="34"/>
    </row>
    <row r="11" spans="1:6" ht="15.6" x14ac:dyDescent="0.3">
      <c r="A11" s="32"/>
      <c r="B11" s="32"/>
      <c r="C11" s="28"/>
      <c r="D11" s="27" t="s">
        <v>34</v>
      </c>
      <c r="E11" s="31"/>
      <c r="F11" s="34">
        <v>250</v>
      </c>
    </row>
    <row r="12" spans="1:6" ht="15.6" x14ac:dyDescent="0.3">
      <c r="A12" s="32"/>
      <c r="B12" s="32"/>
      <c r="C12" s="28"/>
      <c r="D12" s="28"/>
      <c r="E12" s="31"/>
      <c r="F12" s="34"/>
    </row>
    <row r="13" spans="1:6" ht="15.6" x14ac:dyDescent="0.3">
      <c r="A13" s="32"/>
      <c r="B13" s="32"/>
      <c r="C13" s="28"/>
      <c r="D13" s="28"/>
      <c r="E13" s="31"/>
      <c r="F13" s="34"/>
    </row>
    <row r="14" spans="1:6" ht="15.6" x14ac:dyDescent="0.3">
      <c r="A14" s="32"/>
      <c r="B14" s="32"/>
      <c r="C14" s="28"/>
      <c r="D14" s="35"/>
      <c r="E14" s="31"/>
      <c r="F14" s="34"/>
    </row>
    <row r="15" spans="1:6" ht="15.6" x14ac:dyDescent="0.3">
      <c r="A15" s="32"/>
      <c r="B15" s="32"/>
      <c r="C15" s="28"/>
      <c r="D15" s="35"/>
      <c r="E15" s="31"/>
      <c r="F15" s="34"/>
    </row>
    <row r="16" spans="1:6" ht="15.6" x14ac:dyDescent="0.3">
      <c r="A16" s="32"/>
      <c r="B16" s="32"/>
      <c r="C16" s="28"/>
      <c r="D16" s="35"/>
      <c r="E16" s="31"/>
      <c r="F16" s="34"/>
    </row>
    <row r="17" spans="1:6" ht="15.6" x14ac:dyDescent="0.3">
      <c r="A17" s="32"/>
      <c r="B17" s="32"/>
      <c r="C17" s="28"/>
      <c r="D17" s="35"/>
      <c r="E17" s="31"/>
      <c r="F17" s="34"/>
    </row>
    <row r="18" spans="1:6" ht="15.6" x14ac:dyDescent="0.3">
      <c r="A18" s="32"/>
      <c r="B18" s="32"/>
      <c r="C18" s="28"/>
      <c r="D18" s="28"/>
      <c r="E18" s="31"/>
      <c r="F18" s="34"/>
    </row>
    <row r="19" spans="1:6" ht="15.6" x14ac:dyDescent="0.3">
      <c r="A19" s="36"/>
      <c r="B19" s="37"/>
      <c r="C19" s="28"/>
      <c r="D19" s="35"/>
      <c r="E19" s="34"/>
      <c r="F19" s="34"/>
    </row>
    <row r="20" spans="1:6" ht="15.6" x14ac:dyDescent="0.3">
      <c r="A20" s="36"/>
      <c r="B20" s="37"/>
      <c r="C20" s="28"/>
      <c r="D20" s="28"/>
      <c r="E20" s="34"/>
      <c r="F20" s="34"/>
    </row>
    <row r="21" spans="1:6" ht="15.6" x14ac:dyDescent="0.3">
      <c r="A21" s="36"/>
      <c r="B21" s="37"/>
      <c r="C21" s="28"/>
      <c r="D21" s="35"/>
      <c r="E21" s="34"/>
      <c r="F21" s="34"/>
    </row>
    <row r="22" spans="1:6" ht="15.6" x14ac:dyDescent="0.3">
      <c r="A22" s="36"/>
      <c r="B22" s="37"/>
      <c r="C22" s="28"/>
      <c r="D22" s="35"/>
      <c r="E22" s="34"/>
      <c r="F22" s="34"/>
    </row>
    <row r="23" spans="1:6" ht="15.6" x14ac:dyDescent="0.3">
      <c r="A23" s="36"/>
      <c r="B23" s="37"/>
      <c r="C23" s="28"/>
      <c r="D23" s="28"/>
      <c r="E23" s="34"/>
      <c r="F23" s="34"/>
    </row>
    <row r="24" spans="1:6" ht="15.6" x14ac:dyDescent="0.3">
      <c r="A24" s="36"/>
      <c r="B24" s="37"/>
      <c r="C24" s="28"/>
      <c r="D24" s="28"/>
      <c r="E24" s="34"/>
      <c r="F24" s="34"/>
    </row>
    <row r="25" spans="1:6" ht="15.6" x14ac:dyDescent="0.3">
      <c r="A25" s="36"/>
      <c r="B25" s="37"/>
      <c r="C25" s="28" t="s">
        <v>81</v>
      </c>
      <c r="D25" s="28"/>
      <c r="E25" s="34">
        <f>SUM(E4:E10)</f>
        <v>670</v>
      </c>
      <c r="F25" s="34">
        <f>SUM(F4:F13)</f>
        <v>670</v>
      </c>
    </row>
  </sheetData>
  <mergeCells count="6">
    <mergeCell ref="A1:F1"/>
    <mergeCell ref="A2:A3"/>
    <mergeCell ref="B2:B3"/>
    <mergeCell ref="C2:C3"/>
    <mergeCell ref="D2:D3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4523-274A-4975-883F-3C7A34A86CED}">
  <dimension ref="A1:M13"/>
  <sheetViews>
    <sheetView tabSelected="1" zoomScale="76" workbookViewId="0">
      <selection activeCell="M4" sqref="M4"/>
    </sheetView>
  </sheetViews>
  <sheetFormatPr defaultRowHeight="14.4" x14ac:dyDescent="0.3"/>
  <cols>
    <col min="1" max="1" width="5.6640625" customWidth="1"/>
    <col min="3" max="3" width="22.33203125" bestFit="1" customWidth="1"/>
    <col min="4" max="4" width="11" customWidth="1"/>
    <col min="5" max="6" width="12" customWidth="1"/>
    <col min="7" max="7" width="12.88671875" customWidth="1"/>
    <col min="8" max="8" width="10.6640625" customWidth="1"/>
    <col min="9" max="9" width="11" customWidth="1"/>
    <col min="11" max="11" width="25.5546875" bestFit="1" customWidth="1"/>
  </cols>
  <sheetData>
    <row r="1" spans="1:13" ht="21.6" thickBot="1" x14ac:dyDescent="0.45">
      <c r="A1" s="73" t="s">
        <v>82</v>
      </c>
      <c r="B1" s="73"/>
      <c r="C1" s="73"/>
      <c r="D1" s="73"/>
      <c r="E1" s="73"/>
      <c r="F1" s="73"/>
      <c r="G1" s="73"/>
      <c r="H1" s="73"/>
      <c r="I1" s="73"/>
    </row>
    <row r="2" spans="1:13" s="38" customFormat="1" ht="17.399999999999999" x14ac:dyDescent="0.35">
      <c r="A2" s="74" t="s">
        <v>83</v>
      </c>
      <c r="B2" s="75"/>
      <c r="C2" s="75"/>
      <c r="D2" s="75"/>
      <c r="E2" s="75"/>
      <c r="F2" s="75"/>
      <c r="G2" s="75"/>
      <c r="H2" s="75"/>
      <c r="I2" s="76"/>
    </row>
    <row r="3" spans="1:13" s="38" customFormat="1" ht="20.100000000000001" customHeight="1" x14ac:dyDescent="0.35">
      <c r="A3" s="39"/>
      <c r="B3" s="40"/>
      <c r="C3" s="40"/>
      <c r="D3" s="77" t="s">
        <v>84</v>
      </c>
      <c r="E3" s="78"/>
      <c r="F3" s="77" t="s">
        <v>85</v>
      </c>
      <c r="G3" s="78"/>
      <c r="H3" s="79" t="s">
        <v>86</v>
      </c>
      <c r="I3" s="80"/>
      <c r="K3" s="82" t="s">
        <v>97</v>
      </c>
      <c r="L3"/>
      <c r="M3"/>
    </row>
    <row r="4" spans="1:13" s="38" customFormat="1" ht="29.7" customHeight="1" x14ac:dyDescent="0.35">
      <c r="A4" s="41" t="s">
        <v>87</v>
      </c>
      <c r="B4" s="42" t="s">
        <v>88</v>
      </c>
      <c r="C4" s="43" t="s">
        <v>89</v>
      </c>
      <c r="D4" s="44" t="s">
        <v>63</v>
      </c>
      <c r="E4" s="44" t="s">
        <v>65</v>
      </c>
      <c r="F4" s="44" t="s">
        <v>63</v>
      </c>
      <c r="G4" s="44" t="s">
        <v>65</v>
      </c>
      <c r="H4" s="44" t="s">
        <v>63</v>
      </c>
      <c r="I4" s="45" t="s">
        <v>65</v>
      </c>
      <c r="K4" s="27" t="s">
        <v>32</v>
      </c>
      <c r="L4"/>
      <c r="M4"/>
    </row>
    <row r="5" spans="1:13" s="38" customFormat="1" ht="17.399999999999999" x14ac:dyDescent="0.35">
      <c r="A5" s="46">
        <v>1</v>
      </c>
      <c r="B5" s="26">
        <v>1110</v>
      </c>
      <c r="C5" s="26" t="s">
        <v>64</v>
      </c>
      <c r="D5" s="26">
        <v>50</v>
      </c>
      <c r="E5" s="47">
        <v>0</v>
      </c>
      <c r="F5" s="47">
        <v>0</v>
      </c>
      <c r="G5" s="47">
        <v>20</v>
      </c>
      <c r="H5" s="47">
        <v>30</v>
      </c>
      <c r="I5" s="48">
        <v>0</v>
      </c>
      <c r="K5" s="27" t="s">
        <v>39</v>
      </c>
      <c r="L5"/>
      <c r="M5"/>
    </row>
    <row r="6" spans="1:13" s="38" customFormat="1" ht="17.399999999999999" x14ac:dyDescent="0.35">
      <c r="A6" s="46">
        <v>2</v>
      </c>
      <c r="B6" s="27">
        <v>1920</v>
      </c>
      <c r="C6" s="43" t="s">
        <v>90</v>
      </c>
      <c r="D6" s="43">
        <v>0</v>
      </c>
      <c r="E6" s="47">
        <v>0</v>
      </c>
      <c r="F6" s="47">
        <v>200</v>
      </c>
      <c r="G6" s="47">
        <v>0</v>
      </c>
      <c r="H6" s="38">
        <v>200</v>
      </c>
      <c r="I6" s="48">
        <v>0</v>
      </c>
      <c r="K6" s="27" t="s">
        <v>25</v>
      </c>
      <c r="L6"/>
      <c r="M6"/>
    </row>
    <row r="7" spans="1:13" s="38" customFormat="1" ht="17.399999999999999" x14ac:dyDescent="0.35">
      <c r="A7" s="46">
        <v>3</v>
      </c>
      <c r="B7" s="27">
        <v>2131</v>
      </c>
      <c r="C7" s="49" t="s">
        <v>91</v>
      </c>
      <c r="D7" s="47">
        <v>0</v>
      </c>
      <c r="E7" s="47">
        <v>0</v>
      </c>
      <c r="F7" s="47">
        <v>200</v>
      </c>
      <c r="G7" s="38">
        <v>200</v>
      </c>
      <c r="H7" s="47">
        <v>0</v>
      </c>
      <c r="I7" s="48">
        <v>0</v>
      </c>
      <c r="K7" s="27" t="s">
        <v>10</v>
      </c>
      <c r="L7"/>
      <c r="M7"/>
    </row>
    <row r="8" spans="1:13" s="38" customFormat="1" ht="17.399999999999999" x14ac:dyDescent="0.35">
      <c r="A8" s="46">
        <v>4</v>
      </c>
      <c r="B8" s="27">
        <v>1710</v>
      </c>
      <c r="C8" s="49" t="s">
        <v>92</v>
      </c>
      <c r="D8" s="47">
        <v>0</v>
      </c>
      <c r="E8" s="47">
        <v>0</v>
      </c>
      <c r="F8" s="47">
        <v>20</v>
      </c>
      <c r="G8" s="47">
        <v>0</v>
      </c>
      <c r="H8" s="47">
        <v>20</v>
      </c>
      <c r="I8" s="48">
        <v>0</v>
      </c>
      <c r="K8" s="27" t="s">
        <v>43</v>
      </c>
      <c r="L8"/>
      <c r="M8"/>
    </row>
    <row r="9" spans="1:13" s="38" customFormat="1" ht="17.399999999999999" x14ac:dyDescent="0.35">
      <c r="A9" s="50">
        <v>5</v>
      </c>
      <c r="B9" s="51">
        <v>2221</v>
      </c>
      <c r="C9" s="51" t="s">
        <v>20</v>
      </c>
      <c r="D9" s="38">
        <v>0</v>
      </c>
      <c r="E9" s="38">
        <v>400</v>
      </c>
      <c r="F9" s="47">
        <v>0</v>
      </c>
      <c r="G9" s="47">
        <v>0</v>
      </c>
      <c r="H9" s="47">
        <v>0</v>
      </c>
      <c r="I9" s="48">
        <v>400</v>
      </c>
      <c r="K9" s="27" t="s">
        <v>13</v>
      </c>
      <c r="L9"/>
      <c r="M9"/>
    </row>
    <row r="10" spans="1:13" s="38" customFormat="1" ht="17.399999999999999" x14ac:dyDescent="0.35">
      <c r="A10" s="46">
        <v>6</v>
      </c>
      <c r="B10" s="27">
        <v>1120</v>
      </c>
      <c r="C10" s="47" t="s">
        <v>93</v>
      </c>
      <c r="D10" s="47">
        <v>700</v>
      </c>
      <c r="E10" s="47">
        <v>0</v>
      </c>
      <c r="F10" s="47">
        <v>0</v>
      </c>
      <c r="G10" s="47">
        <v>200</v>
      </c>
      <c r="H10" s="47">
        <v>500</v>
      </c>
      <c r="I10" s="48">
        <v>0</v>
      </c>
      <c r="K10" s="28" t="s">
        <v>33</v>
      </c>
      <c r="L10"/>
      <c r="M10"/>
    </row>
    <row r="11" spans="1:13" s="38" customFormat="1" ht="17.399999999999999" x14ac:dyDescent="0.35">
      <c r="A11" s="46">
        <v>7</v>
      </c>
      <c r="B11" s="52">
        <v>2180</v>
      </c>
      <c r="C11" s="47" t="s">
        <v>94</v>
      </c>
      <c r="D11" s="47">
        <v>0</v>
      </c>
      <c r="E11" s="47">
        <v>350</v>
      </c>
      <c r="F11" s="47">
        <v>250</v>
      </c>
      <c r="G11" s="47">
        <v>0</v>
      </c>
      <c r="H11" s="47">
        <v>0</v>
      </c>
      <c r="I11" s="48">
        <v>100</v>
      </c>
      <c r="K11" s="27" t="s">
        <v>34</v>
      </c>
      <c r="L11"/>
      <c r="M11"/>
    </row>
    <row r="12" spans="1:13" s="38" customFormat="1" ht="17.399999999999999" x14ac:dyDescent="0.35">
      <c r="A12" s="46">
        <v>8</v>
      </c>
      <c r="B12" s="27">
        <v>2112</v>
      </c>
      <c r="C12" s="47" t="s">
        <v>95</v>
      </c>
      <c r="D12" s="47">
        <v>0</v>
      </c>
      <c r="E12" s="47">
        <v>0</v>
      </c>
      <c r="F12" s="47">
        <v>0</v>
      </c>
      <c r="G12" s="47">
        <v>250</v>
      </c>
      <c r="H12" s="47">
        <v>0</v>
      </c>
      <c r="I12" s="48">
        <v>250</v>
      </c>
      <c r="L12"/>
      <c r="M12"/>
    </row>
    <row r="13" spans="1:13" s="38" customFormat="1" ht="18" thickBot="1" x14ac:dyDescent="0.4">
      <c r="A13" s="53"/>
      <c r="B13" s="54"/>
      <c r="C13" s="54" t="s">
        <v>96</v>
      </c>
      <c r="D13" s="55">
        <f>SUM(D5:D12)</f>
        <v>750</v>
      </c>
      <c r="E13" s="55">
        <f t="shared" ref="E13:I13" si="0">SUM(E5:E12)</f>
        <v>750</v>
      </c>
      <c r="F13" s="55">
        <f t="shared" si="0"/>
        <v>670</v>
      </c>
      <c r="G13" s="55">
        <f t="shared" si="0"/>
        <v>670</v>
      </c>
      <c r="H13" s="55">
        <f t="shared" si="0"/>
        <v>750</v>
      </c>
      <c r="I13" s="55">
        <f t="shared" si="0"/>
        <v>750</v>
      </c>
    </row>
  </sheetData>
  <mergeCells count="5">
    <mergeCell ref="A1:I1"/>
    <mergeCell ref="A2:I2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Algbilanss</vt:lpstr>
      <vt:lpstr>T-kontod (Pearaamat)</vt:lpstr>
      <vt:lpstr>Lõpp-bilanss</vt:lpstr>
      <vt:lpstr>Päevaraamat</vt:lpstr>
      <vt:lpstr>Käibeandmik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2026-07-13T14:46:00Z</dcterms:created>
  <dcterms:modified xsi:type="dcterms:W3CDTF">2026-07-17T15:55:58Z</dcterms:modified>
</cp:coreProperties>
</file>