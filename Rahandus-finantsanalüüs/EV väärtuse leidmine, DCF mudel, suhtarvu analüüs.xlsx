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8c36b14c3f46f3/Desktop/Rahandus-finantsanalüüs/"/>
    </mc:Choice>
  </mc:AlternateContent>
  <xr:revisionPtr revIDLastSave="470" documentId="8_{202768D5-2A84-4EB8-87E2-884171BEA70A}" xr6:coauthVersionLast="47" xr6:coauthVersionMax="47" xr10:uidLastSave="{BD897B28-2D48-4507-B3F8-FE584EA13A8B}"/>
  <bookViews>
    <workbookView xWindow="-108" yWindow="-108" windowWidth="23256" windowHeight="12456" xr2:uid="{528E3361-31D5-4A54-BF5F-9C17D03F37D6}"/>
  </bookViews>
  <sheets>
    <sheet name="Sheet1" sheetId="1" r:id="rId1"/>
  </sheets>
  <definedNames>
    <definedName name="aktsia__hind">Sheet1!$B$71</definedName>
    <definedName name="aktsia_hind">Sheet1!$B$11</definedName>
    <definedName name="aktsiaemissioon">Sheet1!$B$89</definedName>
    <definedName name="aktsiaemissiooni_suurus">Sheet1!$B$4</definedName>
    <definedName name="ammortisatsioon">Sheet1!$B$85</definedName>
    <definedName name="beeta">Sheet1!$B$145</definedName>
    <definedName name="brutoinvesteeringud">Sheet1!$B$84</definedName>
    <definedName name="diskonteeritud_TV">Sheet1!$B$161</definedName>
    <definedName name="Div1_">Sheet1!$B$59</definedName>
    <definedName name="dividend_aktsia_kohta_div0">Sheet1!$B$54</definedName>
    <definedName name="E">Sheet1!$B$98</definedName>
    <definedName name="EBIT__ammort_ebitda">Sheet1!$B$90</definedName>
    <definedName name="EBITDA">Sheet1!$B$10</definedName>
    <definedName name="eelmise_aasta_kasum">Sheet1!$B$5</definedName>
    <definedName name="emiteeritud_aktsiad">Sheet1!$B$152</definedName>
    <definedName name="ettevõtte_väärtus">Sheet1!$B$162</definedName>
    <definedName name="EV">Sheet1!$B$97</definedName>
    <definedName name="EV_EBITDA_mediaan">Sheet1!$B$38</definedName>
    <definedName name="EV_EV_EBITDA_mediaanist_tuletatuna">Sheet1!$B$39</definedName>
    <definedName name="EV_EV_S_mediaanist_tuletatuna">Sheet1!$B$33</definedName>
    <definedName name="EV_kokku_26_30">Sheet1!$C$134</definedName>
    <definedName name="EV_miinus_laenud">Sheet1!$B$157</definedName>
    <definedName name="EV_S">Sheet1!#REF!</definedName>
    <definedName name="EV_S_mediaan">Sheet1!$B$32</definedName>
    <definedName name="intresse_kandvad_kohustused">Sheet1!$B$8</definedName>
    <definedName name="kapitali_hind">Sheet1!$B$87</definedName>
    <definedName name="kasum_AKTSIA_kohta">Sheet1!$B$17</definedName>
    <definedName name="Kasum_ühe_aktsia_kohta">Sheet1!$B$55</definedName>
    <definedName name="kontrollpreemia__sünergia">Sheet1!$B$148</definedName>
    <definedName name="laenude_hulk">Sheet1!$B$142</definedName>
    <definedName name="laenude_intress">Sheet1!$B$143</definedName>
    <definedName name="müügitulu">Sheet1!$B$7</definedName>
    <definedName name="netolaenude_summa">Sheet1!$B$88</definedName>
    <definedName name="omakapital">Sheet1!$B$138</definedName>
    <definedName name="omakapital_kontrollpreemiaga">Sheet1!$B$158</definedName>
    <definedName name="omakapitali_bil._Väärtus">Sheet1!$B$6</definedName>
    <definedName name="omakapitali_bil._Väätus_AKTSIA_kohta">Sheet1!$B$18</definedName>
    <definedName name="omakapitali_bil_väärtus_aktsia_kohta">Sheet1!$B$58</definedName>
    <definedName name="omakapitali_turuväärtus">Sheet1!$B$34</definedName>
    <definedName name="omakapitali_väärtus__milj">Sheet1!$B$159</definedName>
    <definedName name="omanike_nõutav_tulumäär_Re">Sheet1!$B$57</definedName>
    <definedName name="osalus_ettevõttes">Sheet1!$B$106</definedName>
    <definedName name="P_B_mediaan">Sheet1!$B$28</definedName>
    <definedName name="P_E_mediaan">Sheet1!$B$24</definedName>
    <definedName name="puhaskasumi_kasvumäär">Sheet1!$B$56</definedName>
    <definedName name="puhaskäibekapital_NWC_kasv">Sheet1!$B$86</definedName>
    <definedName name="raha_ja_ekvivalendid">Sheet1!$B$9</definedName>
    <definedName name="rahaturufondi_osakute_väärtus">Sheet1!$B$150</definedName>
    <definedName name="Re">Sheet1!$B$153</definedName>
    <definedName name="riskipreemia_lisaks_CAPMile">Sheet1!$B$147</definedName>
    <definedName name="riskivaba_intressimäär">Sheet1!$B$144</definedName>
    <definedName name="terminaalväärtus">Sheet1!$B$160</definedName>
    <definedName name="TM_kasumilt">Sheet1!$B$83</definedName>
    <definedName name="turu_riskipreemia">Sheet1!$B$146</definedName>
    <definedName name="turukapitalisatsioon">Sheet1!$B$12</definedName>
    <definedName name="uus_fcff_kasvumäär">Sheet1!$B$91</definedName>
    <definedName name="vaba_raha_kasvumäär_peale_2030">Sheet1!$B$149</definedName>
    <definedName name="vaba_raha_kontol">Sheet1!$B$151</definedName>
    <definedName name="vaba_rahavoog_ettevõttele_FCFF">Sheet1!$A$94</definedName>
    <definedName name="WACC">Sheet1!$B$154</definedName>
    <definedName name="viimase_aasta_ärikasum_EBIT">Sheet1!$B$82</definedName>
    <definedName name="võõrkapital">Sheet1!$B$139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1" l="1"/>
  <c r="B71" i="1" s="1"/>
  <c r="B73" i="1" s="1"/>
  <c r="D134" i="1"/>
  <c r="D133" i="1"/>
  <c r="C159" i="1"/>
  <c r="D132" i="1"/>
  <c r="D129" i="1"/>
  <c r="C166" i="1"/>
  <c r="C59" i="1"/>
  <c r="D131" i="1"/>
  <c r="D130" i="1"/>
  <c r="C73" i="1"/>
  <c r="C72" i="1"/>
  <c r="B72" i="1" l="1"/>
  <c r="B153" i="1"/>
  <c r="B154" i="1" s="1"/>
  <c r="B90" i="1"/>
  <c r="A94" i="1"/>
  <c r="B97" i="1" s="1"/>
  <c r="A71" i="1"/>
  <c r="J12" i="1"/>
  <c r="B28" i="1" s="1"/>
  <c r="I12" i="1"/>
  <c r="B24" i="1" s="1"/>
  <c r="H12" i="1"/>
  <c r="B38" i="1" s="1"/>
  <c r="G12" i="1"/>
  <c r="B32" i="1" s="1"/>
  <c r="F12" i="1"/>
  <c r="E12" i="1"/>
  <c r="C99" i="1"/>
  <c r="C90" i="1"/>
  <c r="C17" i="1"/>
  <c r="C100" i="1"/>
  <c r="C40" i="1"/>
  <c r="C163" i="1"/>
  <c r="C157" i="1"/>
  <c r="C98" i="1"/>
  <c r="C41" i="1"/>
  <c r="C160" i="1"/>
  <c r="C33" i="1"/>
  <c r="C154" i="1"/>
  <c r="C153" i="1"/>
  <c r="C158" i="1"/>
  <c r="C29" i="1"/>
  <c r="C162" i="1"/>
  <c r="B94" i="1"/>
  <c r="C18" i="1"/>
  <c r="C25" i="1"/>
  <c r="C161" i="1"/>
  <c r="C71" i="1"/>
  <c r="C34" i="1"/>
  <c r="C35" i="1"/>
  <c r="C97" i="1"/>
  <c r="B160" i="1" l="1"/>
  <c r="B161" i="1" s="1"/>
  <c r="C130" i="1"/>
  <c r="C131" i="1"/>
  <c r="C132" i="1"/>
  <c r="C133" i="1"/>
  <c r="C129" i="1"/>
  <c r="B12" i="1"/>
  <c r="B39" i="1"/>
  <c r="B33" i="1"/>
  <c r="F14" i="1" s="1"/>
  <c r="B100" i="1"/>
  <c r="B98" i="1"/>
  <c r="B99" i="1" s="1"/>
  <c r="B17" i="1"/>
  <c r="B25" i="1" s="1"/>
  <c r="B18" i="1"/>
  <c r="B29" i="1" s="1"/>
  <c r="C134" i="1" l="1"/>
  <c r="B162" i="1" s="1"/>
  <c r="F13" i="1"/>
  <c r="B40" i="1"/>
  <c r="B34" i="1"/>
  <c r="E13" i="1" s="1"/>
  <c r="B157" i="1" l="1"/>
  <c r="B158" i="1" s="1"/>
  <c r="B159" i="1" s="1"/>
  <c r="B41" i="1"/>
  <c r="E14" i="1"/>
  <c r="B35" i="1"/>
  <c r="B163" i="1" l="1"/>
  <c r="B16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tc={5506B5A8-F55C-4FAD-8844-D6D66899D3E3}</author>
    <author>tc={1AD286C3-D3A9-4EEE-859A-91E46F01DB41}</author>
    <author>tc={11221ED9-E25B-4B58-A924-C88B5E56740F}</author>
    <author>tc={2806CB46-5C9F-4730-B6AC-8146E01A0A93}</author>
    <author>tc={B1B82408-3B85-461D-95F4-124EB6C700F9}</author>
    <author>tc={ADFA7405-4707-4687-8332-8401A5AD0DF2}</author>
  </authors>
  <commentList>
    <comment ref="E13" authorId="0" shapeId="0" xr:uid="{5506B5A8-F55C-4FAD-8844-D6D66899D3E3}">
      <text>
        <t>[Threaded comment]
Your version of Excel allows you to read this threaded comment; however, any edits to it will get removed if the file is opened in a newer version of Excel. Learn more: https://go.microsoft.com/fwlink/?linkid=870924
Comment:
    EV/EBITDA mediaanist tuletatuna</t>
      </text>
    </comment>
    <comment ref="F13" authorId="1" shapeId="0" xr:uid="{1AD286C3-D3A9-4EEE-859A-91E46F01DB41}">
      <text>
        <t>[Threaded comment]
Your version of Excel allows you to read this threaded comment; however, any edits to it will get removed if the file is opened in a newer version of Excel. Learn more: https://go.microsoft.com/fwlink/?linkid=870924
Comment:
    EV EV/EBITDA mediaanist tuletatuna</t>
      </text>
    </comment>
    <comment ref="E14" authorId="2" shapeId="0" xr:uid="{11221ED9-E25B-4B58-A924-C88B5E56740F}">
      <text>
        <t>[Threaded comment]
Your version of Excel allows you to read this threaded comment; however, any edits to it will get removed if the file is opened in a newer version of Excel. Learn more: https://go.microsoft.com/fwlink/?linkid=870924
Comment:
    EV/S mediaanist tuletatuna</t>
      </text>
    </comment>
    <comment ref="F14" authorId="3" shapeId="0" xr:uid="{2806CB46-5C9F-4730-B6AC-8146E01A0A93}">
      <text>
        <t>[Threaded comment]
Your version of Excel allows you to read this threaded comment; however, any edits to it will get removed if the file is opened in a newer version of Excel. Learn more: https://go.microsoft.com/fwlink/?linkid=870924
Comment:
    EV EV/S mediaanist tuletatuna</t>
      </text>
    </comment>
    <comment ref="B49" authorId="4" shapeId="0" xr:uid="{B1B82408-3B85-461D-95F4-124EB6C700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aktsia hind on kolmel juhul neljast kõrgem kui aktsia hetke turuhind.
</t>
      </text>
    </comment>
    <comment ref="K76" authorId="5" shapeId="0" xr:uid="{ADFA7405-4707-4687-8332-8401A5AD0DF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Ebastabiilsed, negatiivsed või raskesti prognoositavad rahavood (nt idufirmad, tsüklilised ettevõtted).  
Valesti hinnatud diskontomäär (WACC) – väikesed muutused mõjutavad väärtust oluliselt. 
Terminalväärtus moodustab liiga suure osa ettevõtte koguväärtusest. (Kui terminalväärtuse eeldused on valed, muutub kogu hinnang ebausaldusväärseks.)
Suured muutused ärikeskkonnas (majanduskriisid, regulatsioonid, tehnoloogilised muutused). </t>
      </text>
    </comment>
  </commentList>
</comments>
</file>

<file path=xl/sharedStrings.xml><?xml version="1.0" encoding="utf-8"?>
<sst xmlns="http://schemas.openxmlformats.org/spreadsheetml/2006/main" count="151" uniqueCount="141">
  <si>
    <t>Lennukompanii</t>
  </si>
  <si>
    <t>EV/S</t>
  </si>
  <si>
    <t>EV/EBITDA</t>
  </si>
  <si>
    <t>P/E</t>
  </si>
  <si>
    <t>P/Book</t>
  </si>
  <si>
    <t>Delta Air Lines (DAL)</t>
  </si>
  <si>
    <t>American Airlines (AAL)</t>
  </si>
  <si>
    <t>United Continental (UAL)</t>
  </si>
  <si>
    <t>Southwest Airlines (LUV)</t>
  </si>
  <si>
    <t>Alaska Air (ALK)</t>
  </si>
  <si>
    <t>JetBlue Airways (JBLU)</t>
  </si>
  <si>
    <t>SkyWest (SKYW)</t>
  </si>
  <si>
    <t>Mediaan</t>
  </si>
  <si>
    <t>1.</t>
  </si>
  <si>
    <t>aktsiaemissiooni suurus</t>
  </si>
  <si>
    <t>eelmise aasta kasum</t>
  </si>
  <si>
    <t>omakapitali bil. Väärtus</t>
  </si>
  <si>
    <t>müügitulu</t>
  </si>
  <si>
    <t>intresse kandvad kohustused</t>
  </si>
  <si>
    <t>raha ja ekvivalendid</t>
  </si>
  <si>
    <t>EBITDA</t>
  </si>
  <si>
    <t>aktsia hind</t>
  </si>
  <si>
    <t>P/B</t>
  </si>
  <si>
    <t>esmalt</t>
  </si>
  <si>
    <t>kasum AKTSIA kohta</t>
  </si>
  <si>
    <t>omakapitali bil. Väätus AKTSIA kohta</t>
  </si>
  <si>
    <t>seejärel</t>
  </si>
  <si>
    <t>Hawaiian Airlines (HA)</t>
  </si>
  <si>
    <t>turukapitalisatsioon</t>
  </si>
  <si>
    <t>P/E mediaan</t>
  </si>
  <si>
    <t>P/B mediaan</t>
  </si>
  <si>
    <t>hind P/E mediaanist tuletatuna</t>
  </si>
  <si>
    <t>hind P/B mediaanist tuletatuna</t>
  </si>
  <si>
    <t>EV EV/S mediaanist tuletatuna</t>
  </si>
  <si>
    <t>EV/S mediaan</t>
  </si>
  <si>
    <t>omakapitali turuväärtus</t>
  </si>
  <si>
    <t>EV EV/EBITDA mediaanist tuletatuna</t>
  </si>
  <si>
    <t>EV/EBITDA mediaan</t>
  </si>
  <si>
    <t>EV=E+D-RAHA</t>
  </si>
  <si>
    <t>alahinnatud</t>
  </si>
  <si>
    <t>puhaskasumi kasvumäär</t>
  </si>
  <si>
    <t>omanike nõutav tulumäär Re</t>
  </si>
  <si>
    <t>omakapitali bil väärtus aktsia kohta</t>
  </si>
  <si>
    <t>gordoni mudel</t>
  </si>
  <si>
    <t xml:space="preserve"> P – aktsia turuhind/väärtus</t>
  </si>
  <si>
    <t>Div1 – oodatav dividend järgmisel perioodil [leitav ka kui: Div0*(1+g)]</t>
  </si>
  <si>
    <t>Re – omakapitali nõutav tulunorm</t>
  </si>
  <si>
    <t>g – dividendide oodatav kasvumäär</t>
  </si>
  <si>
    <t>dividend aktsia kohta div0</t>
  </si>
  <si>
    <t>Div1</t>
  </si>
  <si>
    <t>Re=(Div1/P)+g</t>
  </si>
  <si>
    <t>0,1=(4,16/P)+0,04</t>
  </si>
  <si>
    <t>0,1-0,04=4,16/P</t>
  </si>
  <si>
    <t>P=4,16/0,06</t>
  </si>
  <si>
    <t>0,06=4,16/P*(P/0,06)</t>
  </si>
  <si>
    <t>FCFF=EBIT*(1-Tc)+kulum-invest põhivara-invest käibevara</t>
  </si>
  <si>
    <t>uus fcff kasvumäär</t>
  </si>
  <si>
    <t>puhaskäibekapital=käibevara-lühiajalised kohustised</t>
  </si>
  <si>
    <t>kapitali hind WACC</t>
  </si>
  <si>
    <t>EBIT +ammort(ebitda)</t>
  </si>
  <si>
    <t>PROGNOOSID</t>
  </si>
  <si>
    <t>MÜÜGITULU</t>
  </si>
  <si>
    <t xml:space="preserve"> - KULU KAUPADELE JA MATERJALIDELE</t>
  </si>
  <si>
    <t>BRUTOKASUM</t>
  </si>
  <si>
    <t xml:space="preserve"> - TEGEVUSKULUD</t>
  </si>
  <si>
    <t xml:space="preserve"> - PALGAKULUD</t>
  </si>
  <si>
    <t xml:space="preserve"> =ÄRIKASUM + KULUM (=EBITDA)</t>
  </si>
  <si>
    <t xml:space="preserve"> - LISAINVESTEERINGUD KÄIBEKAPITALI</t>
  </si>
  <si>
    <t xml:space="preserve"> - TÄIENDAVAD INVESTEERINGUD PÕHIVARADESSE</t>
  </si>
  <si>
    <t xml:space="preserve"> = VABA RAHAVOOG ETTEVÕTTELE (FCFF)</t>
  </si>
  <si>
    <t xml:space="preserve">sihtstruktuur </t>
  </si>
  <si>
    <t>omakapital</t>
  </si>
  <si>
    <t>võõrkapital</t>
  </si>
  <si>
    <t>riskivaba intressimäär</t>
  </si>
  <si>
    <t>beeta</t>
  </si>
  <si>
    <t>turu riskipreemia</t>
  </si>
  <si>
    <t>riskipreemia lisaks CAPMile</t>
  </si>
  <si>
    <t>kontrollpreemia (sünergia)</t>
  </si>
  <si>
    <t>vaba raha kasvumäär peale 2030</t>
  </si>
  <si>
    <t>Re</t>
  </si>
  <si>
    <t>WACC</t>
  </si>
  <si>
    <t>aastad</t>
  </si>
  <si>
    <t>fcff</t>
  </si>
  <si>
    <t>KOKKU</t>
  </si>
  <si>
    <t>diskonteeritud TV</t>
  </si>
  <si>
    <t>mediaani kasutamine aktsia hinna leidmiseks</t>
  </si>
  <si>
    <t>FCFF1=FCFF0*G</t>
  </si>
  <si>
    <r>
      <t>Re=Rf+</t>
    </r>
    <r>
      <rPr>
        <sz val="11"/>
        <color theme="1"/>
        <rFont val="Aptos Narrow"/>
        <family val="2"/>
      </rPr>
      <t>β</t>
    </r>
    <r>
      <rPr>
        <sz val="11"/>
        <color theme="1"/>
        <rFont val="Aptos Narrow"/>
        <family val="2"/>
        <charset val="186"/>
        <scheme val="minor"/>
      </rPr>
      <t>(Rm-Rf)</t>
    </r>
  </si>
  <si>
    <t>andmed</t>
  </si>
  <si>
    <t>laenude hulk, mln</t>
  </si>
  <si>
    <t xml:space="preserve">laenude intress, </t>
  </si>
  <si>
    <t>rahaturufondi osakute väärtus, mln</t>
  </si>
  <si>
    <t>vaba raha kontol, mln</t>
  </si>
  <si>
    <t>emiteeritud aktsiad, mln</t>
  </si>
  <si>
    <t>e/v prognoositavad rahavood fcff</t>
  </si>
  <si>
    <t>EV miinus laenud, milj</t>
  </si>
  <si>
    <t>ettevõtte väärtus, milj</t>
  </si>
  <si>
    <t>AKTSIA HIND, €</t>
  </si>
  <si>
    <t>viimase aasta ärikasum EBIT, milj</t>
  </si>
  <si>
    <t>brutoinvesteeringud, milj</t>
  </si>
  <si>
    <t>ammortisatsioon, milj</t>
  </si>
  <si>
    <t>puhaskäibekapital NWC kasv, milj</t>
  </si>
  <si>
    <t>netolaenude summa, milj</t>
  </si>
  <si>
    <t>aktsiaemissioon, milj</t>
  </si>
  <si>
    <t>aktsia hind, eur</t>
  </si>
  <si>
    <t>Kasum ühe aktsia kohta</t>
  </si>
  <si>
    <t>Hawaiian Airlines  ettevõtte väärtuse ning aktsia hinna leidmine tuletatuna võrdlusgrupi mediaankeskmistest näitajatest</t>
  </si>
  <si>
    <t>Ettevõtte väärtuse hindamine tulumeetodil (diskonteeritud rahavoogude meetodil)</t>
  </si>
  <si>
    <t>Ettevõtte väärtuse hindamine DCF meetodi abil, aktsia hinna leidmine</t>
  </si>
  <si>
    <t>väärtussuhtarvude teoreetilised väärtused ning aktsia hinna leidmine</t>
  </si>
  <si>
    <t>aktsia  hind</t>
  </si>
  <si>
    <t>omakapitali väärtus, milj</t>
  </si>
  <si>
    <t>terminaalväärtus TV</t>
  </si>
  <si>
    <t>omakapital kontrollpreemiaga, milj</t>
  </si>
  <si>
    <t>2.  ettevõtte fundamentaalselt õiglaste P/E ning P/B suhtarvude leidmine kasutades gordoni mudelit</t>
  </si>
  <si>
    <t>valitud lennufirmade finantsnäitajad</t>
  </si>
  <si>
    <t>Hawaiian Airlines finantsandmed</t>
  </si>
  <si>
    <t>Omakapitali turuväärtus, milj</t>
  </si>
  <si>
    <t>Ettevõtte väärtus (EV), milj</t>
  </si>
  <si>
    <t>Hawaiian Airlines (HA) aktsia hind</t>
  </si>
  <si>
    <t>aktsia hind turul</t>
  </si>
  <si>
    <t>HA  aktsia hind võrreldes võrdlusgrupiga</t>
  </si>
  <si>
    <t>aktsia hind EV/S mediaanist</t>
  </si>
  <si>
    <t>aktsia hind EV/EBITDA mediaanist</t>
  </si>
  <si>
    <t xml:space="preserve">aktsia hind P/E mediaanist </t>
  </si>
  <si>
    <t xml:space="preserve">aktsia hind P/B mediaanist </t>
  </si>
  <si>
    <t>P/E mediaani kasutamine</t>
  </si>
  <si>
    <t>P/B mediaani kasutamine</t>
  </si>
  <si>
    <t>EV/S mediaanI kasutamine</t>
  </si>
  <si>
    <t>EV/EBITDA mediaani kasutamine</t>
  </si>
  <si>
    <t>tulumaksumäär kasumilt</t>
  </si>
  <si>
    <t>omakapitali turuväärtus E, milj</t>
  </si>
  <si>
    <t>ettevõtte väärtus EV, milj</t>
  </si>
  <si>
    <t>osaluse väärtus, milj</t>
  </si>
  <si>
    <t>osalus ettevõttes</t>
  </si>
  <si>
    <t>5.ettevõtte väärtuse leidmine 2025 a lõpu  seisuga, sh aktsia ning osaluse väärtus ettevõttes</t>
  </si>
  <si>
    <t>EV</t>
  </si>
  <si>
    <t>CAPM</t>
  </si>
  <si>
    <t>vaba rahavoog ettevõttele FCFF, milj</t>
  </si>
  <si>
    <t>3. Leida vaba rahavoog ettevõttele möödunud majandusaastal, sh ettevõtte väärtus ning aktsia hind, kui ettevõtte vaba rahavoog kasvab edaspidi 5% aastas</t>
  </si>
  <si>
    <t>Olukorrad, kus DCF-meetod võib anda eksitava või vähem usaldusväärse tulemuse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</si>
</sst>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\ _€_-;\-* #,##0\ _€_-;_-* &quot;-&quot;??\ _€_-;_-@_-"/>
  </numFmts>
  <fonts count="20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color rgb="FF000000"/>
      <name val="Calibri"/>
      <family val="2"/>
    </font>
    <font>
      <b/>
      <i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Calibri"/>
      <family val="2"/>
      <charset val="186"/>
    </font>
    <font>
      <sz val="22"/>
      <color theme="1"/>
      <name val="Aptos Narrow"/>
      <family val="2"/>
      <charset val="186"/>
      <scheme val="minor"/>
    </font>
    <font>
      <sz val="22"/>
      <color theme="1"/>
      <name val="Aptos Narrow"/>
      <family val="2"/>
      <scheme val="minor"/>
    </font>
    <font>
      <sz val="11"/>
      <color rgb="FFFF0000"/>
      <name val="Aptos Narrow"/>
      <family val="2"/>
      <charset val="186"/>
      <scheme val="minor"/>
    </font>
    <font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charset val="18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6">
    <xf numFmtId="0" fontId="0" fillId="0" borderId="0" xfId="0"/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3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quotePrefix="1"/>
    <xf numFmtId="9" fontId="0" fillId="0" borderId="0" xfId="2" applyFont="1"/>
    <xf numFmtId="0" fontId="0" fillId="0" borderId="3" xfId="0" applyBorder="1"/>
    <xf numFmtId="3" fontId="0" fillId="0" borderId="3" xfId="0" applyNumberFormat="1" applyBorder="1"/>
    <xf numFmtId="164" fontId="0" fillId="0" borderId="3" xfId="0" applyNumberFormat="1" applyBorder="1"/>
    <xf numFmtId="0" fontId="3" fillId="0" borderId="4" xfId="0" applyFont="1" applyBorder="1"/>
    <xf numFmtId="0" fontId="4" fillId="0" borderId="4" xfId="0" applyFont="1" applyBorder="1"/>
    <xf numFmtId="2" fontId="4" fillId="0" borderId="4" xfId="0" applyNumberFormat="1" applyFont="1" applyBorder="1"/>
    <xf numFmtId="164" fontId="4" fillId="0" borderId="4" xfId="0" applyNumberFormat="1" applyFont="1" applyBorder="1"/>
    <xf numFmtId="0" fontId="8" fillId="0" borderId="0" xfId="0" applyFont="1" applyAlignment="1">
      <alignment wrapText="1"/>
    </xf>
    <xf numFmtId="0" fontId="0" fillId="0" borderId="2" xfId="0" applyBorder="1"/>
    <xf numFmtId="2" fontId="0" fillId="2" borderId="1" xfId="0" applyNumberFormat="1" applyFill="1" applyBorder="1"/>
    <xf numFmtId="0" fontId="4" fillId="0" borderId="0" xfId="0" quotePrefix="1" applyFont="1"/>
    <xf numFmtId="0" fontId="10" fillId="0" borderId="8" xfId="0" applyFont="1" applyBorder="1" applyAlignment="1">
      <alignment vertical="center" wrapText="1"/>
    </xf>
    <xf numFmtId="0" fontId="10" fillId="0" borderId="9" xfId="0" applyFont="1" applyBorder="1" applyAlignment="1">
      <alignment horizontal="right" vertical="center" wrapText="1"/>
    </xf>
    <xf numFmtId="0" fontId="11" fillId="0" borderId="8" xfId="0" applyFont="1" applyBorder="1" applyAlignment="1">
      <alignment horizontal="right" vertical="center" wrapText="1"/>
    </xf>
    <xf numFmtId="0" fontId="11" fillId="0" borderId="9" xfId="0" applyFont="1" applyBorder="1" applyAlignment="1">
      <alignment horizontal="right" vertical="center" wrapText="1"/>
    </xf>
    <xf numFmtId="0" fontId="9" fillId="0" borderId="8" xfId="0" applyFont="1" applyBorder="1" applyAlignment="1">
      <alignment vertical="center" wrapText="1"/>
    </xf>
    <xf numFmtId="0" fontId="9" fillId="0" borderId="9" xfId="0" applyFont="1" applyBorder="1" applyAlignment="1">
      <alignment horizontal="right" vertical="center" wrapText="1"/>
    </xf>
    <xf numFmtId="0" fontId="0" fillId="0" borderId="10" xfId="0" applyBorder="1"/>
    <xf numFmtId="0" fontId="0" fillId="4" borderId="1" xfId="0" applyFill="1" applyBorder="1"/>
    <xf numFmtId="3" fontId="6" fillId="5" borderId="6" xfId="0" applyNumberFormat="1" applyFont="1" applyFill="1" applyBorder="1"/>
    <xf numFmtId="164" fontId="6" fillId="5" borderId="6" xfId="0" applyNumberFormat="1" applyFont="1" applyFill="1" applyBorder="1"/>
    <xf numFmtId="164" fontId="6" fillId="5" borderId="7" xfId="0" applyNumberFormat="1" applyFont="1" applyFill="1" applyBorder="1"/>
    <xf numFmtId="0" fontId="12" fillId="5" borderId="5" xfId="0" applyFont="1" applyFill="1" applyBorder="1"/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horizontal="right" vertical="center" wrapText="1"/>
    </xf>
    <xf numFmtId="164" fontId="0" fillId="3" borderId="1" xfId="0" applyNumberFormat="1" applyFill="1" applyBorder="1"/>
    <xf numFmtId="0" fontId="0" fillId="5" borderId="1" xfId="0" applyFill="1" applyBorder="1"/>
    <xf numFmtId="0" fontId="0" fillId="2" borderId="1" xfId="0" applyFill="1" applyBorder="1"/>
    <xf numFmtId="2" fontId="0" fillId="0" borderId="1" xfId="0" applyNumberFormat="1" applyBorder="1"/>
    <xf numFmtId="165" fontId="0" fillId="0" borderId="1" xfId="0" applyNumberFormat="1" applyBorder="1"/>
    <xf numFmtId="9" fontId="0" fillId="0" borderId="1" xfId="2" applyFont="1" applyBorder="1"/>
    <xf numFmtId="0" fontId="2" fillId="0" borderId="0" xfId="0" applyFont="1"/>
    <xf numFmtId="0" fontId="14" fillId="0" borderId="0" xfId="0" applyFont="1"/>
    <xf numFmtId="0" fontId="0" fillId="0" borderId="13" xfId="0" applyBorder="1"/>
    <xf numFmtId="0" fontId="0" fillId="0" borderId="2" xfId="0" quotePrefix="1" applyBorder="1"/>
    <xf numFmtId="0" fontId="4" fillId="5" borderId="1" xfId="0" applyFont="1" applyFill="1" applyBorder="1"/>
    <xf numFmtId="9" fontId="0" fillId="0" borderId="0" xfId="2" applyFont="1" applyBorder="1"/>
    <xf numFmtId="0" fontId="15" fillId="0" borderId="0" xfId="0" applyFont="1" applyAlignment="1">
      <alignment horizontal="center" wrapText="1"/>
    </xf>
    <xf numFmtId="0" fontId="4" fillId="0" borderId="10" xfId="0" applyFont="1" applyBorder="1"/>
    <xf numFmtId="9" fontId="0" fillId="0" borderId="1" xfId="0" applyNumberFormat="1" applyBorder="1"/>
    <xf numFmtId="9" fontId="4" fillId="0" borderId="10" xfId="2" applyFont="1" applyBorder="1"/>
    <xf numFmtId="0" fontId="4" fillId="0" borderId="0" xfId="0" applyFont="1" applyAlignment="1">
      <alignment wrapText="1"/>
    </xf>
    <xf numFmtId="4" fontId="0" fillId="0" borderId="1" xfId="0" applyNumberFormat="1" applyBorder="1"/>
    <xf numFmtId="0" fontId="18" fillId="4" borderId="1" xfId="0" applyFont="1" applyFill="1" applyBorder="1"/>
    <xf numFmtId="0" fontId="18" fillId="4" borderId="1" xfId="0" applyFont="1" applyFill="1" applyBorder="1" applyAlignment="1">
      <alignment wrapText="1"/>
    </xf>
    <xf numFmtId="0" fontId="3" fillId="0" borderId="1" xfId="0" applyFont="1" applyBorder="1"/>
    <xf numFmtId="2" fontId="17" fillId="0" borderId="1" xfId="0" applyNumberFormat="1" applyFont="1" applyBorder="1"/>
    <xf numFmtId="0" fontId="4" fillId="0" borderId="1" xfId="0" applyFont="1" applyBorder="1"/>
    <xf numFmtId="2" fontId="4" fillId="0" borderId="1" xfId="0" applyNumberFormat="1" applyFont="1" applyBorder="1"/>
    <xf numFmtId="2" fontId="19" fillId="0" borderId="1" xfId="0" applyNumberFormat="1" applyFont="1" applyBorder="1"/>
    <xf numFmtId="9" fontId="4" fillId="3" borderId="1" xfId="2" applyFont="1" applyFill="1" applyBorder="1" applyAlignment="1"/>
    <xf numFmtId="2" fontId="0" fillId="3" borderId="1" xfId="0" applyNumberFormat="1" applyFill="1" applyBorder="1"/>
    <xf numFmtId="2" fontId="0" fillId="3" borderId="1" xfId="0" applyNumberFormat="1" applyFill="1" applyBorder="1" applyAlignment="1">
      <alignment horizontal="right" vertical="center"/>
    </xf>
    <xf numFmtId="3" fontId="0" fillId="3" borderId="1" xfId="1" applyNumberFormat="1" applyFont="1" applyFill="1" applyBorder="1"/>
    <xf numFmtId="3" fontId="0" fillId="3" borderId="1" xfId="0" applyNumberFormat="1" applyFill="1" applyBorder="1" applyAlignment="1">
      <alignment horizontal="right" vertical="center"/>
    </xf>
    <xf numFmtId="1" fontId="0" fillId="0" borderId="1" xfId="0" applyNumberFormat="1" applyBorder="1"/>
    <xf numFmtId="0" fontId="0" fillId="4" borderId="1" xfId="0" applyFill="1" applyBorder="1" applyAlignment="1">
      <alignment horizontal="center"/>
    </xf>
    <xf numFmtId="0" fontId="4" fillId="0" borderId="24" xfId="0" applyFont="1" applyBorder="1" applyAlignment="1">
      <alignment horizontal="center" wrapText="1"/>
    </xf>
    <xf numFmtId="0" fontId="4" fillId="0" borderId="25" xfId="0" applyFont="1" applyBorder="1" applyAlignment="1">
      <alignment horizontal="center" wrapText="1"/>
    </xf>
    <xf numFmtId="0" fontId="4" fillId="0" borderId="26" xfId="0" applyFont="1" applyBorder="1" applyAlignment="1">
      <alignment horizontal="center" wrapText="1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4" fillId="6" borderId="17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  <xf numFmtId="0" fontId="4" fillId="6" borderId="19" xfId="0" applyFont="1" applyFill="1" applyBorder="1" applyAlignment="1">
      <alignment horizontal="center" vertical="center" wrapText="1"/>
    </xf>
    <xf numFmtId="0" fontId="4" fillId="6" borderId="22" xfId="0" applyFont="1" applyFill="1" applyBorder="1" applyAlignment="1">
      <alignment horizontal="center" vertical="center" wrapText="1"/>
    </xf>
    <xf numFmtId="0" fontId="4" fillId="6" borderId="23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horizontal="center" wrapText="1"/>
    </xf>
    <xf numFmtId="0" fontId="15" fillId="0" borderId="15" xfId="0" applyFont="1" applyBorder="1" applyAlignment="1">
      <alignment horizontal="center" wrapText="1"/>
    </xf>
    <xf numFmtId="0" fontId="15" fillId="0" borderId="16" xfId="0" applyFont="1" applyBorder="1" applyAlignment="1">
      <alignment horizontal="center" wrapText="1"/>
    </xf>
    <xf numFmtId="0" fontId="15" fillId="0" borderId="17" xfId="0" applyFont="1" applyBorder="1" applyAlignment="1">
      <alignment horizontal="center" wrapText="1"/>
    </xf>
    <xf numFmtId="0" fontId="15" fillId="0" borderId="18" xfId="0" applyFont="1" applyBorder="1" applyAlignment="1">
      <alignment horizontal="center" wrapText="1"/>
    </xf>
    <xf numFmtId="0" fontId="15" fillId="0" borderId="19" xfId="0" applyFont="1" applyBorder="1" applyAlignment="1">
      <alignment horizontal="center" wrapText="1"/>
    </xf>
    <xf numFmtId="0" fontId="15" fillId="0" borderId="20" xfId="0" applyFont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15" fillId="0" borderId="21" xfId="0" applyFont="1" applyBorder="1" applyAlignment="1">
      <alignment horizontal="center" wrapText="1"/>
    </xf>
    <xf numFmtId="0" fontId="15" fillId="0" borderId="22" xfId="0" applyFont="1" applyBorder="1" applyAlignment="1">
      <alignment horizontal="center" wrapText="1"/>
    </xf>
    <xf numFmtId="0" fontId="15" fillId="0" borderId="23" xfId="0" applyFont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16" fillId="0" borderId="14" xfId="0" applyFont="1" applyBorder="1" applyAlignment="1">
      <alignment horizontal="center" wrapText="1"/>
    </xf>
    <xf numFmtId="0" fontId="16" fillId="0" borderId="15" xfId="0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396744</xdr:colOff>
      <xdr:row>79</xdr:row>
      <xdr:rowOff>151156</xdr:rowOff>
    </xdr:from>
    <xdr:to>
      <xdr:col>4</xdr:col>
      <xdr:colOff>346382</xdr:colOff>
      <xdr:row>84</xdr:row>
      <xdr:rowOff>78293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F4F607-382E-1F11-6D46-88306C7F6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7097" y="14270568"/>
          <a:ext cx="2375389" cy="823608"/>
        </a:xfrm>
        <a:prstGeom prst="rect">
          <a:avLst/>
        </a:prstGeom>
      </xdr:spPr>
    </xdr:pic>
    <xdr:clientData/>
  </xdr:twoCellAnchor>
  <xdr:twoCellAnchor editAs="oneCell">
    <xdr:from>
      <xdr:col>3</xdr:col>
      <xdr:colOff>76477</xdr:colOff>
      <xdr:row>135</xdr:row>
      <xdr:rowOff>89072</xdr:rowOff>
    </xdr:from>
    <xdr:to>
      <xdr:col>6</xdr:col>
      <xdr:colOff>824270</xdr:colOff>
      <xdr:row>139</xdr:row>
      <xdr:rowOff>132082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09FE2CC-1651-38CE-99EF-E0700F0D2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48214" y="29235572"/>
          <a:ext cx="5971504" cy="76490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kus Lüllman" id="{F8D2873E-C327-4C51-B5A4-B7EA7F5FB80B}" userId="598c36b14c3f46f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3" dT="2026-07-16T14:08:47.99" personId="{F8D2873E-C327-4C51-B5A4-B7EA7F5FB80B}" id="{5506B5A8-F55C-4FAD-8844-D6D66899D3E3}">
    <text>EV/EBITDA mediaanist tuletatuna</text>
  </threadedComment>
  <threadedComment ref="F13" dT="2026-07-16T14:06:23.34" personId="{F8D2873E-C327-4C51-B5A4-B7EA7F5FB80B}" id="{1AD286C3-D3A9-4EEE-859A-91E46F01DB41}">
    <text>EV EV/EBITDA mediaanist tuletatuna</text>
  </threadedComment>
  <threadedComment ref="E14" dT="2026-07-16T14:09:01.10" personId="{F8D2873E-C327-4C51-B5A4-B7EA7F5FB80B}" id="{11221ED9-E25B-4B58-A924-C88B5E56740F}">
    <text>EV/S mediaanist tuletatuna</text>
  </threadedComment>
  <threadedComment ref="F14" dT="2026-07-16T14:07:34.41" personId="{F8D2873E-C327-4C51-B5A4-B7EA7F5FB80B}" id="{2806CB46-5C9F-4730-B6AC-8146E01A0A93}">
    <text>EV EV/S mediaanist tuletatuna</text>
  </threadedComment>
  <threadedComment ref="B49" dT="2026-07-16T15:02:51.18" personId="{F8D2873E-C327-4C51-B5A4-B7EA7F5FB80B}" id="{B1B82408-3B85-461D-95F4-124EB6C700F9}">
    <text xml:space="preserve">aktsia hind on kolmel juhul neljast kõrgem kui aktsia hetke turuhind.
</text>
  </threadedComment>
  <threadedComment ref="K76" dT="2026-07-16T15:46:08.49" personId="{F8D2873E-C327-4C51-B5A4-B7EA7F5FB80B}" id="{ADFA7405-4707-4687-8332-8401A5AD0DF2}">
    <text xml:space="preserve">Ebastabiilsed, negatiivsed või raskesti prognoositavad rahavood (nt idufirmad, tsüklilised ettevõtted).  
Valesti hinnatud diskontomäär (WACC) – väikesed muutused mõjutavad väärtust oluliselt. 
Terminalväärtus moodustab liiga suure osa ettevõtte koguväärtusest. (Kui terminalväärtuse eeldused on valed, muutub kogu hinnang ebausaldusväärseks.)
Suured muutused ärikeskkonnas (majanduskriisid, regulatsioonid, tehnoloogilised muutused).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B1BFB-7698-4BD3-A23E-F87F4999BC54}">
  <dimension ref="A1:N166"/>
  <sheetViews>
    <sheetView tabSelected="1" topLeftCell="A72" zoomScale="76" zoomScaleNormal="105" workbookViewId="0">
      <selection activeCell="L92" sqref="L92"/>
    </sheetView>
  </sheetViews>
  <sheetFormatPr defaultRowHeight="14.4" x14ac:dyDescent="0.3"/>
  <cols>
    <col min="1" max="1" width="32" customWidth="1"/>
    <col min="2" max="2" width="23.6640625" customWidth="1"/>
    <col min="3" max="3" width="11" customWidth="1"/>
    <col min="4" max="4" width="24.21875" customWidth="1"/>
    <col min="5" max="5" width="32.33203125" customWidth="1"/>
    <col min="6" max="6" width="19.5546875" customWidth="1"/>
    <col min="7" max="7" width="29.109375" bestFit="1" customWidth="1"/>
    <col min="8" max="9" width="10.5546875" bestFit="1" customWidth="1"/>
    <col min="10" max="10" width="11.5546875" bestFit="1" customWidth="1"/>
  </cols>
  <sheetData>
    <row r="1" spans="1:11" ht="88.2" customHeight="1" thickBot="1" x14ac:dyDescent="0.6">
      <c r="A1" s="5" t="s">
        <v>13</v>
      </c>
      <c r="B1" s="18"/>
      <c r="E1" s="80" t="s">
        <v>106</v>
      </c>
      <c r="F1" s="81"/>
      <c r="G1" s="81"/>
      <c r="H1" s="82"/>
    </row>
    <row r="2" spans="1:11" ht="15" customHeight="1" x14ac:dyDescent="0.55000000000000004">
      <c r="B2" s="18"/>
      <c r="E2" s="48"/>
      <c r="F2" s="48"/>
      <c r="G2" s="48"/>
      <c r="H2" s="48"/>
    </row>
    <row r="3" spans="1:11" ht="15" customHeight="1" x14ac:dyDescent="0.3">
      <c r="A3" s="67" t="s">
        <v>116</v>
      </c>
      <c r="B3" s="67"/>
      <c r="D3" s="96" t="s">
        <v>115</v>
      </c>
      <c r="E3" s="96"/>
      <c r="F3" s="96"/>
      <c r="G3" s="96"/>
      <c r="H3" s="96"/>
      <c r="I3" s="96"/>
      <c r="J3" s="96"/>
    </row>
    <row r="4" spans="1:11" ht="28.8" x14ac:dyDescent="0.3">
      <c r="A4" s="1" t="s">
        <v>14</v>
      </c>
      <c r="B4" s="53">
        <v>53000000</v>
      </c>
      <c r="D4" s="54" t="s">
        <v>0</v>
      </c>
      <c r="E4" s="55" t="s">
        <v>117</v>
      </c>
      <c r="F4" s="55" t="s">
        <v>118</v>
      </c>
      <c r="G4" s="54" t="s">
        <v>1</v>
      </c>
      <c r="H4" s="54" t="s">
        <v>2</v>
      </c>
      <c r="I4" s="54" t="s">
        <v>3</v>
      </c>
      <c r="J4" s="54" t="s">
        <v>4</v>
      </c>
    </row>
    <row r="5" spans="1:11" x14ac:dyDescent="0.3">
      <c r="A5" s="1" t="s">
        <v>15</v>
      </c>
      <c r="B5" s="53">
        <v>132000000</v>
      </c>
      <c r="D5" s="1" t="s">
        <v>5</v>
      </c>
      <c r="E5" s="2">
        <v>40857</v>
      </c>
      <c r="F5" s="2">
        <v>45846</v>
      </c>
      <c r="G5" s="3">
        <v>1.1000000000000001</v>
      </c>
      <c r="H5" s="3">
        <v>6</v>
      </c>
      <c r="I5" s="3">
        <v>15</v>
      </c>
      <c r="J5" s="3">
        <v>4</v>
      </c>
    </row>
    <row r="6" spans="1:11" x14ac:dyDescent="0.3">
      <c r="A6" s="1" t="s">
        <v>16</v>
      </c>
      <c r="B6" s="53">
        <v>372000000</v>
      </c>
      <c r="D6" s="1" t="s">
        <v>6</v>
      </c>
      <c r="E6" s="2">
        <v>27249</v>
      </c>
      <c r="F6" s="2">
        <v>38937</v>
      </c>
      <c r="G6" s="3">
        <v>0.9</v>
      </c>
      <c r="H6" s="3">
        <v>4.5</v>
      </c>
      <c r="I6" s="3">
        <v>6.2</v>
      </c>
      <c r="J6" s="3">
        <v>7.5</v>
      </c>
    </row>
    <row r="7" spans="1:11" x14ac:dyDescent="0.3">
      <c r="A7" s="1" t="s">
        <v>17</v>
      </c>
      <c r="B7" s="53">
        <v>2100000000</v>
      </c>
      <c r="D7" s="1" t="s">
        <v>7</v>
      </c>
      <c r="E7" s="2">
        <v>22000</v>
      </c>
      <c r="F7" s="2">
        <v>28522</v>
      </c>
      <c r="G7" s="3">
        <v>0.7</v>
      </c>
      <c r="H7" s="3">
        <v>4.2</v>
      </c>
      <c r="I7" s="3">
        <v>3.4</v>
      </c>
      <c r="J7" s="3">
        <v>2.6</v>
      </c>
    </row>
    <row r="8" spans="1:11" x14ac:dyDescent="0.3">
      <c r="A8" s="1" t="s">
        <v>18</v>
      </c>
      <c r="B8" s="53">
        <v>400000000</v>
      </c>
      <c r="D8" s="1" t="s">
        <v>8</v>
      </c>
      <c r="E8" s="2">
        <v>28499</v>
      </c>
      <c r="F8" s="2">
        <v>28125</v>
      </c>
      <c r="G8" s="3">
        <v>1.5</v>
      </c>
      <c r="H8" s="3">
        <v>6</v>
      </c>
      <c r="I8" s="3">
        <v>16.100000000000001</v>
      </c>
      <c r="J8" s="3">
        <v>4.0999999999999996</v>
      </c>
    </row>
    <row r="9" spans="1:11" x14ac:dyDescent="0.3">
      <c r="A9" s="1" t="s">
        <v>19</v>
      </c>
      <c r="B9" s="53">
        <v>93000000</v>
      </c>
      <c r="D9" s="1" t="s">
        <v>9</v>
      </c>
      <c r="E9" s="2">
        <v>10396</v>
      </c>
      <c r="F9" s="2">
        <v>9870</v>
      </c>
      <c r="G9" s="3">
        <v>1.8</v>
      </c>
      <c r="H9" s="3">
        <v>6.3</v>
      </c>
      <c r="I9" s="3">
        <v>13.4</v>
      </c>
      <c r="J9" s="3">
        <v>4.4000000000000004</v>
      </c>
    </row>
    <row r="10" spans="1:11" x14ac:dyDescent="0.3">
      <c r="A10" s="1" t="s">
        <v>20</v>
      </c>
      <c r="B10" s="53">
        <v>410000000</v>
      </c>
      <c r="D10" s="1" t="s">
        <v>10</v>
      </c>
      <c r="E10" s="2">
        <v>7338</v>
      </c>
      <c r="F10" s="2">
        <v>8189</v>
      </c>
      <c r="G10" s="3">
        <v>1.3</v>
      </c>
      <c r="H10" s="3">
        <v>6.1</v>
      </c>
      <c r="I10" s="3">
        <v>13.8</v>
      </c>
      <c r="J10" s="3">
        <v>2.4</v>
      </c>
    </row>
    <row r="11" spans="1:11" ht="15" thickBot="1" x14ac:dyDescent="0.35">
      <c r="A11" s="1" t="s">
        <v>21</v>
      </c>
      <c r="B11" s="53">
        <v>32</v>
      </c>
      <c r="D11" s="11" t="s">
        <v>11</v>
      </c>
      <c r="E11" s="12">
        <v>1039</v>
      </c>
      <c r="F11" s="12">
        <v>2590</v>
      </c>
      <c r="G11" s="13">
        <v>0.8</v>
      </c>
      <c r="H11" s="13">
        <v>5.2</v>
      </c>
      <c r="I11" s="13">
        <v>21.2</v>
      </c>
      <c r="J11" s="13">
        <v>0.7</v>
      </c>
    </row>
    <row r="12" spans="1:11" ht="15" thickBot="1" x14ac:dyDescent="0.35">
      <c r="A12" s="1" t="s">
        <v>28</v>
      </c>
      <c r="B12" s="53">
        <f>aktsia_hind*aktsiaemissiooni_suurus</f>
        <v>1696000000</v>
      </c>
      <c r="D12" s="33" t="s">
        <v>12</v>
      </c>
      <c r="E12" s="30">
        <f t="shared" ref="E12:J12" si="0">MEDIAN(E5:E11)</f>
        <v>22000</v>
      </c>
      <c r="F12" s="30">
        <f t="shared" si="0"/>
        <v>28125</v>
      </c>
      <c r="G12" s="31">
        <f t="shared" si="0"/>
        <v>1.1000000000000001</v>
      </c>
      <c r="H12" s="31">
        <f t="shared" si="0"/>
        <v>6</v>
      </c>
      <c r="I12" s="31">
        <f t="shared" si="0"/>
        <v>13.8</v>
      </c>
      <c r="J12" s="32">
        <f t="shared" si="0"/>
        <v>4</v>
      </c>
    </row>
    <row r="13" spans="1:11" x14ac:dyDescent="0.3">
      <c r="D13" s="14" t="s">
        <v>27</v>
      </c>
      <c r="E13" s="15">
        <f>omakapitali_turuväärtus/1000000</f>
        <v>2003</v>
      </c>
      <c r="F13" s="15">
        <f>EV_EV_EBITDA_mediaanist_tuletatuna/1000000</f>
        <v>2460</v>
      </c>
      <c r="G13" s="16"/>
      <c r="H13" s="16"/>
      <c r="I13" s="17"/>
      <c r="J13" s="17"/>
    </row>
    <row r="14" spans="1:11" x14ac:dyDescent="0.3">
      <c r="B14" s="4"/>
      <c r="D14" s="14" t="s">
        <v>27</v>
      </c>
      <c r="E14" s="40">
        <f>B40/1000000</f>
        <v>2153</v>
      </c>
      <c r="F14" s="1">
        <f>EV_EV_S_mediaanist_tuletatuna/1000000</f>
        <v>2310</v>
      </c>
    </row>
    <row r="15" spans="1:11" x14ac:dyDescent="0.3">
      <c r="G15" s="10"/>
      <c r="H15" s="10"/>
      <c r="I15" s="10"/>
      <c r="J15" s="10"/>
    </row>
    <row r="16" spans="1:11" x14ac:dyDescent="0.3">
      <c r="A16" s="6" t="s">
        <v>23</v>
      </c>
      <c r="F16" s="47"/>
      <c r="G16" s="47"/>
      <c r="H16" s="10"/>
      <c r="I16" s="10"/>
      <c r="J16" s="10"/>
      <c r="K16" s="10"/>
    </row>
    <row r="17" spans="1:11" x14ac:dyDescent="0.3">
      <c r="A17" t="s">
        <v>24</v>
      </c>
      <c r="B17" s="20">
        <f>eelmise_aasta_kasum/aktsiaemissiooni_suurus</f>
        <v>2.4905660377358489</v>
      </c>
      <c r="C17" t="str">
        <f ca="1">_xlfn.FORMULATEXT(kasum_AKTSIA_kohta)</f>
        <v>=eelmise_aasta_kasum/aktsiaemissiooni_suurus</v>
      </c>
      <c r="F17" s="47"/>
      <c r="G17" s="47"/>
      <c r="H17" s="10"/>
      <c r="I17" s="10"/>
      <c r="J17" s="10"/>
      <c r="K17" s="10"/>
    </row>
    <row r="18" spans="1:11" x14ac:dyDescent="0.3">
      <c r="A18" t="s">
        <v>25</v>
      </c>
      <c r="B18" s="20">
        <f>omakapitali_bil._Väärtus/aktsiaemissiooni_suurus</f>
        <v>7.0188679245283021</v>
      </c>
      <c r="C18" t="str">
        <f ca="1">_xlfn.FORMULATEXT(omakapitali_bil._Väätus_AKTSIA_kohta)</f>
        <v>=omakapitali_bil._Väärtus/aktsiaemissiooni_suurus</v>
      </c>
      <c r="F18" s="47"/>
      <c r="G18" s="47"/>
      <c r="H18" s="10"/>
      <c r="I18" s="10"/>
      <c r="J18" s="10"/>
      <c r="K18" s="10"/>
    </row>
    <row r="19" spans="1:11" x14ac:dyDescent="0.3">
      <c r="F19" s="47"/>
      <c r="G19" s="47"/>
      <c r="H19" s="10"/>
      <c r="I19" s="10"/>
      <c r="J19" s="10"/>
      <c r="K19" s="10"/>
    </row>
    <row r="20" spans="1:11" x14ac:dyDescent="0.3">
      <c r="A20" s="8"/>
    </row>
    <row r="21" spans="1:11" x14ac:dyDescent="0.3">
      <c r="A21" s="6" t="s">
        <v>26</v>
      </c>
      <c r="B21" s="5" t="s">
        <v>85</v>
      </c>
    </row>
    <row r="22" spans="1:11" x14ac:dyDescent="0.3">
      <c r="A22" s="6"/>
      <c r="B22" s="5"/>
    </row>
    <row r="23" spans="1:11" x14ac:dyDescent="0.3">
      <c r="A23" s="97" t="s">
        <v>126</v>
      </c>
      <c r="B23" s="97"/>
    </row>
    <row r="24" spans="1:11" x14ac:dyDescent="0.3">
      <c r="A24" s="1" t="s">
        <v>29</v>
      </c>
      <c r="B24" s="3">
        <f>I12</f>
        <v>13.8</v>
      </c>
    </row>
    <row r="25" spans="1:11" x14ac:dyDescent="0.3">
      <c r="A25" s="1" t="s">
        <v>31</v>
      </c>
      <c r="B25" s="62">
        <f>P_E_mediaan*kasum_AKTSIA_kohta</f>
        <v>34.369811320754714</v>
      </c>
      <c r="C25" t="str">
        <f ca="1">_xlfn.FORMULATEXT(B25)</f>
        <v>=P_E_mediaan*kasum_AKTSIA_kohta</v>
      </c>
    </row>
    <row r="27" spans="1:11" x14ac:dyDescent="0.3">
      <c r="A27" s="98" t="s">
        <v>127</v>
      </c>
      <c r="B27" s="99"/>
    </row>
    <row r="28" spans="1:11" x14ac:dyDescent="0.3">
      <c r="A28" s="1" t="s">
        <v>30</v>
      </c>
      <c r="B28" s="36">
        <f>J12</f>
        <v>4</v>
      </c>
    </row>
    <row r="29" spans="1:11" x14ac:dyDescent="0.3">
      <c r="A29" s="1" t="s">
        <v>32</v>
      </c>
      <c r="B29" s="62">
        <f>P_B_mediaan*omakapitali_bil._Väätus_AKTSIA_kohta</f>
        <v>28.075471698113208</v>
      </c>
      <c r="C29" t="str">
        <f ca="1">_xlfn.FORMULATEXT(B29)</f>
        <v>=P_B_mediaan*omakapitali_bil._Väätus_AKTSIA_kohta</v>
      </c>
    </row>
    <row r="30" spans="1:11" ht="15" thickBot="1" x14ac:dyDescent="0.35"/>
    <row r="31" spans="1:11" ht="15" thickBot="1" x14ac:dyDescent="0.35">
      <c r="A31" s="67" t="s">
        <v>128</v>
      </c>
      <c r="B31" s="67"/>
      <c r="D31" s="19" t="s">
        <v>38</v>
      </c>
    </row>
    <row r="32" spans="1:11" x14ac:dyDescent="0.3">
      <c r="A32" s="1" t="s">
        <v>34</v>
      </c>
      <c r="B32" s="36">
        <f>G12</f>
        <v>1.1000000000000001</v>
      </c>
    </row>
    <row r="33" spans="1:3" x14ac:dyDescent="0.3">
      <c r="A33" s="1" t="s">
        <v>33</v>
      </c>
      <c r="B33" s="64">
        <f>EV_S_mediaan*müügitulu</f>
        <v>2310000000</v>
      </c>
      <c r="C33" t="str">
        <f ca="1">_xlfn.FORMULATEXT(B33)</f>
        <v>=EV_S_mediaan*müügitulu</v>
      </c>
    </row>
    <row r="34" spans="1:3" x14ac:dyDescent="0.3">
      <c r="A34" s="1" t="s">
        <v>35</v>
      </c>
      <c r="B34" s="64">
        <f>EV_EV_S_mediaanist_tuletatuna-intresse_kandvad_kohustused+raha_ja_ekvivalendid</f>
        <v>2003000000</v>
      </c>
      <c r="C34" t="str">
        <f ca="1">_xlfn.FORMULATEXT(B34)</f>
        <v>=EV_EV_S_mediaanist_tuletatuna-intresse_kandvad_kohustused+raha_ja_ekvivalendid</v>
      </c>
    </row>
    <row r="35" spans="1:3" x14ac:dyDescent="0.3">
      <c r="A35" s="1" t="s">
        <v>122</v>
      </c>
      <c r="B35" s="36">
        <f>omakapitali_turuväärtus/aktsiaemissiooni_suurus</f>
        <v>37.79245283018868</v>
      </c>
      <c r="C35" t="str">
        <f ca="1">_xlfn.FORMULATEXT(B35)</f>
        <v>=omakapitali_turuväärtus/aktsiaemissiooni_suurus</v>
      </c>
    </row>
    <row r="37" spans="1:3" x14ac:dyDescent="0.3">
      <c r="A37" s="67" t="s">
        <v>129</v>
      </c>
      <c r="B37" s="67"/>
    </row>
    <row r="38" spans="1:3" x14ac:dyDescent="0.3">
      <c r="A38" s="1" t="s">
        <v>37</v>
      </c>
      <c r="B38" s="36">
        <f>H12</f>
        <v>6</v>
      </c>
    </row>
    <row r="39" spans="1:3" x14ac:dyDescent="0.3">
      <c r="A39" s="1" t="s">
        <v>36</v>
      </c>
      <c r="B39" s="64">
        <f>EV_EBITDA_mediaan*EBITDA</f>
        <v>2460000000</v>
      </c>
    </row>
    <row r="40" spans="1:3" x14ac:dyDescent="0.3">
      <c r="A40" s="1" t="s">
        <v>35</v>
      </c>
      <c r="B40" s="65">
        <f>EV_EV_EBITDA_mediaanist_tuletatuna-intresse_kandvad_kohustused+raha_ja_ekvivalendid</f>
        <v>2153000000</v>
      </c>
      <c r="C40" t="str">
        <f ca="1">_xlfn.FORMULATEXT(B40)</f>
        <v>=EV_EV_EBITDA_mediaanist_tuletatuna-intresse_kandvad_kohustused+raha_ja_ekvivalendid</v>
      </c>
    </row>
    <row r="41" spans="1:3" x14ac:dyDescent="0.3">
      <c r="A41" s="1" t="s">
        <v>123</v>
      </c>
      <c r="B41" s="63">
        <f>B40/aktsiaemissiooni_suurus</f>
        <v>40.622641509433961</v>
      </c>
      <c r="C41" t="str">
        <f ca="1">_xlfn.FORMULATEXT(B41)</f>
        <v>=B40/aktsiaemissiooni_suurus</v>
      </c>
    </row>
    <row r="43" spans="1:3" x14ac:dyDescent="0.3">
      <c r="A43" s="67" t="s">
        <v>121</v>
      </c>
      <c r="B43" s="67"/>
    </row>
    <row r="44" spans="1:3" x14ac:dyDescent="0.3">
      <c r="A44" s="58" t="s">
        <v>120</v>
      </c>
      <c r="B44" s="59">
        <v>32</v>
      </c>
    </row>
    <row r="45" spans="1:3" x14ac:dyDescent="0.3">
      <c r="A45" s="1" t="s">
        <v>124</v>
      </c>
      <c r="B45" s="57">
        <v>34.369811320754714</v>
      </c>
    </row>
    <row r="46" spans="1:3" x14ac:dyDescent="0.3">
      <c r="A46" s="1" t="s">
        <v>125</v>
      </c>
      <c r="B46" s="60">
        <v>28.075471698113208</v>
      </c>
    </row>
    <row r="47" spans="1:3" x14ac:dyDescent="0.3">
      <c r="A47" s="1" t="s">
        <v>122</v>
      </c>
      <c r="B47" s="57">
        <v>37.79245283018868</v>
      </c>
    </row>
    <row r="48" spans="1:3" x14ac:dyDescent="0.3">
      <c r="A48" s="1" t="s">
        <v>123</v>
      </c>
      <c r="B48" s="57">
        <v>40.622641509433961</v>
      </c>
    </row>
    <row r="49" spans="1:8" x14ac:dyDescent="0.3">
      <c r="A49" s="56" t="s">
        <v>119</v>
      </c>
      <c r="B49" s="61" t="s">
        <v>39</v>
      </c>
    </row>
    <row r="50" spans="1:8" s="28" customFormat="1" ht="15" thickBot="1" x14ac:dyDescent="0.35">
      <c r="E50"/>
      <c r="F50"/>
      <c r="G50"/>
      <c r="H50"/>
    </row>
    <row r="51" spans="1:8" ht="66.599999999999994" customHeight="1" thickBot="1" x14ac:dyDescent="0.6">
      <c r="A51" s="52" t="s">
        <v>114</v>
      </c>
      <c r="E51" s="93" t="s">
        <v>109</v>
      </c>
      <c r="F51" s="94"/>
      <c r="G51" s="94"/>
      <c r="H51" s="95"/>
    </row>
    <row r="53" spans="1:8" x14ac:dyDescent="0.3">
      <c r="A53" s="92" t="s">
        <v>88</v>
      </c>
      <c r="B53" s="92"/>
      <c r="D53" s="42"/>
    </row>
    <row r="54" spans="1:8" x14ac:dyDescent="0.3">
      <c r="A54" s="1" t="s">
        <v>48</v>
      </c>
      <c r="B54" s="1">
        <v>4</v>
      </c>
      <c r="D54" s="42"/>
    </row>
    <row r="55" spans="1:8" x14ac:dyDescent="0.3">
      <c r="A55" s="1" t="s">
        <v>105</v>
      </c>
      <c r="B55" s="1">
        <v>5</v>
      </c>
      <c r="D55" s="42"/>
    </row>
    <row r="56" spans="1:8" x14ac:dyDescent="0.3">
      <c r="A56" s="1" t="s">
        <v>40</v>
      </c>
      <c r="B56" s="50">
        <v>0.04</v>
      </c>
      <c r="D56" s="43"/>
    </row>
    <row r="57" spans="1:8" x14ac:dyDescent="0.3">
      <c r="A57" s="1" t="s">
        <v>41</v>
      </c>
      <c r="B57" s="50">
        <v>0.1</v>
      </c>
      <c r="D57" s="42"/>
    </row>
    <row r="58" spans="1:8" x14ac:dyDescent="0.3">
      <c r="A58" s="1" t="s">
        <v>42</v>
      </c>
      <c r="B58" s="1">
        <v>20</v>
      </c>
    </row>
    <row r="59" spans="1:8" x14ac:dyDescent="0.3">
      <c r="A59" s="1" t="s">
        <v>49</v>
      </c>
      <c r="B59" s="1">
        <f>dividend_aktsia_kohta_div0*(1+puhaskasumi_kasvumäär)</f>
        <v>4.16</v>
      </c>
      <c r="C59" t="str">
        <f ca="1">_xlfn.FORMULATEXT(Div1_)</f>
        <v>=dividend_aktsia_kohta_div0*(1+puhaskasumi_kasvumäär)</v>
      </c>
    </row>
    <row r="60" spans="1:8" x14ac:dyDescent="0.3">
      <c r="A60" t="s">
        <v>43</v>
      </c>
      <c r="B60" s="9" t="s">
        <v>50</v>
      </c>
    </row>
    <row r="61" spans="1:8" x14ac:dyDescent="0.3">
      <c r="B61" t="s">
        <v>44</v>
      </c>
    </row>
    <row r="62" spans="1:8" x14ac:dyDescent="0.3">
      <c r="B62" t="s">
        <v>45</v>
      </c>
    </row>
    <row r="63" spans="1:8" x14ac:dyDescent="0.3">
      <c r="B63" t="s">
        <v>46</v>
      </c>
    </row>
    <row r="64" spans="1:8" x14ac:dyDescent="0.3">
      <c r="B64" t="s">
        <v>47</v>
      </c>
    </row>
    <row r="66" spans="1:14" x14ac:dyDescent="0.3">
      <c r="B66" s="28" t="s">
        <v>110</v>
      </c>
    </row>
    <row r="67" spans="1:14" x14ac:dyDescent="0.3">
      <c r="B67" s="9" t="s">
        <v>51</v>
      </c>
    </row>
    <row r="68" spans="1:14" x14ac:dyDescent="0.3">
      <c r="B68" s="9" t="s">
        <v>52</v>
      </c>
    </row>
    <row r="69" spans="1:14" x14ac:dyDescent="0.3">
      <c r="B69" s="9" t="s">
        <v>54</v>
      </c>
    </row>
    <row r="70" spans="1:14" x14ac:dyDescent="0.3">
      <c r="B70" s="9" t="s">
        <v>53</v>
      </c>
    </row>
    <row r="71" spans="1:14" x14ac:dyDescent="0.3">
      <c r="A71" s="37" t="str">
        <f>B66</f>
        <v>aktsia  hind</v>
      </c>
      <c r="B71" s="3">
        <f>Div1_/0.06</f>
        <v>69.333333333333343</v>
      </c>
      <c r="C71" t="str">
        <f ca="1">_xlfn.FORMULATEXT(B71)</f>
        <v>=Div1_/0,06</v>
      </c>
    </row>
    <row r="72" spans="1:14" x14ac:dyDescent="0.3">
      <c r="A72" s="37" t="s">
        <v>22</v>
      </c>
      <c r="B72" s="3">
        <f>aktsia__hind/omakapitali_bil_väärtus_aktsia_kohta</f>
        <v>3.4666666666666672</v>
      </c>
      <c r="C72" t="str">
        <f ca="1">_xlfn.FORMULATEXT(B72)</f>
        <v>=aktsia__hind/omakapitali_bil_väärtus_aktsia_kohta</v>
      </c>
    </row>
    <row r="73" spans="1:14" x14ac:dyDescent="0.3">
      <c r="A73" s="37" t="s">
        <v>3</v>
      </c>
      <c r="B73" s="3">
        <f>aktsia__hind/Kasum_ühe_aktsia_kohta</f>
        <v>13.866666666666669</v>
      </c>
      <c r="C73" t="str">
        <f ca="1">_xlfn.FORMULATEXT(B73)</f>
        <v>=aktsia__hind/Kasum_ühe_aktsia_kohta</v>
      </c>
    </row>
    <row r="74" spans="1:14" s="28" customFormat="1" ht="15" thickBot="1" x14ac:dyDescent="0.35">
      <c r="E74"/>
      <c r="F74"/>
      <c r="G74"/>
      <c r="H74"/>
    </row>
    <row r="75" spans="1:14" ht="14.4" customHeight="1" thickBot="1" x14ac:dyDescent="0.35">
      <c r="A75" s="68" t="s">
        <v>139</v>
      </c>
      <c r="B75" s="69"/>
      <c r="E75" s="83" t="s">
        <v>107</v>
      </c>
      <c r="F75" s="84"/>
      <c r="G75" s="84"/>
      <c r="H75" s="85"/>
    </row>
    <row r="76" spans="1:14" x14ac:dyDescent="0.3">
      <c r="A76" s="70"/>
      <c r="B76" s="71"/>
      <c r="E76" s="86"/>
      <c r="F76" s="87"/>
      <c r="G76" s="87"/>
      <c r="H76" s="88"/>
      <c r="K76" s="74" t="s">
        <v>140</v>
      </c>
      <c r="L76" s="75"/>
      <c r="M76" s="75"/>
      <c r="N76" s="76"/>
    </row>
    <row r="77" spans="1:14" ht="15" thickBot="1" x14ac:dyDescent="0.35">
      <c r="A77" s="70"/>
      <c r="B77" s="71"/>
      <c r="E77" s="86"/>
      <c r="F77" s="87"/>
      <c r="G77" s="87"/>
      <c r="H77" s="88"/>
      <c r="K77" s="77"/>
      <c r="L77" s="78"/>
      <c r="M77" s="78"/>
      <c r="N77" s="79"/>
    </row>
    <row r="78" spans="1:14" ht="15" thickBot="1" x14ac:dyDescent="0.35">
      <c r="A78" s="72"/>
      <c r="B78" s="73"/>
      <c r="E78" s="89"/>
      <c r="F78" s="90"/>
      <c r="G78" s="90"/>
      <c r="H78" s="91"/>
    </row>
    <row r="81" spans="1:6" x14ac:dyDescent="0.3">
      <c r="A81" s="105" t="s">
        <v>88</v>
      </c>
      <c r="B81" s="105"/>
    </row>
    <row r="82" spans="1:6" x14ac:dyDescent="0.3">
      <c r="A82" s="1" t="s">
        <v>98</v>
      </c>
      <c r="B82" s="1">
        <v>32</v>
      </c>
    </row>
    <row r="83" spans="1:6" x14ac:dyDescent="0.3">
      <c r="A83" s="1" t="s">
        <v>130</v>
      </c>
      <c r="B83" s="50">
        <v>0.25</v>
      </c>
      <c r="F83" s="5"/>
    </row>
    <row r="84" spans="1:6" x14ac:dyDescent="0.3">
      <c r="A84" s="1" t="s">
        <v>99</v>
      </c>
      <c r="B84" s="1">
        <v>12</v>
      </c>
      <c r="F84" s="5"/>
    </row>
    <row r="85" spans="1:6" x14ac:dyDescent="0.3">
      <c r="A85" s="1" t="s">
        <v>100</v>
      </c>
      <c r="B85" s="1">
        <v>6</v>
      </c>
      <c r="F85" s="7"/>
    </row>
    <row r="86" spans="1:6" ht="15" thickBot="1" x14ac:dyDescent="0.35">
      <c r="A86" s="1" t="s">
        <v>101</v>
      </c>
      <c r="B86" s="1">
        <v>4</v>
      </c>
      <c r="C86" s="21" t="s">
        <v>57</v>
      </c>
      <c r="F86" s="7"/>
    </row>
    <row r="87" spans="1:6" ht="15" thickBot="1" x14ac:dyDescent="0.35">
      <c r="A87" s="1" t="s">
        <v>58</v>
      </c>
      <c r="B87" s="50">
        <v>0.1</v>
      </c>
      <c r="D87" s="44" t="s">
        <v>38</v>
      </c>
      <c r="F87" s="7"/>
    </row>
    <row r="88" spans="1:6" ht="15" thickBot="1" x14ac:dyDescent="0.35">
      <c r="A88" s="1" t="s">
        <v>102</v>
      </c>
      <c r="B88" s="1">
        <v>150</v>
      </c>
      <c r="D88" s="45" t="s">
        <v>86</v>
      </c>
    </row>
    <row r="89" spans="1:6" x14ac:dyDescent="0.3">
      <c r="A89" s="1" t="s">
        <v>103</v>
      </c>
      <c r="B89" s="1">
        <v>10</v>
      </c>
    </row>
    <row r="90" spans="1:6" x14ac:dyDescent="0.3">
      <c r="A90" s="1" t="s">
        <v>59</v>
      </c>
      <c r="B90" s="1">
        <f>viimase_aasta_ärikasum_EBIT+ammortisatsioon</f>
        <v>38</v>
      </c>
      <c r="C90" t="str">
        <f ca="1">_xlfn.FORMULATEXT(EBIT__ammort_ebitda)</f>
        <v>=viimase_aasta_ärikasum_EBIT+ammortisatsioon</v>
      </c>
    </row>
    <row r="91" spans="1:6" x14ac:dyDescent="0.3">
      <c r="A91" s="1" t="s">
        <v>56</v>
      </c>
      <c r="B91" s="50">
        <v>0.05</v>
      </c>
    </row>
    <row r="93" spans="1:6" x14ac:dyDescent="0.3">
      <c r="A93" s="46" t="s">
        <v>138</v>
      </c>
      <c r="B93" t="s">
        <v>55</v>
      </c>
      <c r="E93" s="5"/>
    </row>
    <row r="94" spans="1:6" x14ac:dyDescent="0.3">
      <c r="A94" s="66">
        <f>viimase_aasta_ärikasum_EBIT*(1-TM_kasumilt)+ammortisatsioon-brutoinvesteeringud-puhaskäibekapital_NWC_kasv</f>
        <v>14</v>
      </c>
      <c r="B94" t="str">
        <f ca="1">_xlfn.FORMULATEXT(A94)</f>
        <v>=viimase_aasta_ärikasum_EBIT*(1-TM_kasumilt)+ammortisatsioon-brutoinvesteeringud-puhaskäibekapital_NWC_kasv</v>
      </c>
    </row>
    <row r="97" spans="1:8" x14ac:dyDescent="0.3">
      <c r="A97" s="46" t="s">
        <v>132</v>
      </c>
      <c r="B97" s="1">
        <f>vaba_rahavoog_ettevõttele_FCFF*(1+uus_fcff_kasvumäär)/(kapitali_hind-uus_fcff_kasvumäär)</f>
        <v>294</v>
      </c>
      <c r="C97" t="str">
        <f ca="1">_xlfn.FORMULATEXT(EV)</f>
        <v>=vaba_rahavoog_ettevõttele_FCFF*(1+uus_fcff_kasvumäär)/(kapitali_hind-uus_fcff_kasvumäär)</v>
      </c>
    </row>
    <row r="98" spans="1:8" x14ac:dyDescent="0.3">
      <c r="A98" s="46" t="s">
        <v>131</v>
      </c>
      <c r="B98" s="1">
        <f>EV-netolaenude_summa</f>
        <v>144</v>
      </c>
      <c r="C98" t="str">
        <f ca="1">_xlfn.FORMULATEXT(E)</f>
        <v>=EV-netolaenude_summa</v>
      </c>
    </row>
    <row r="99" spans="1:8" x14ac:dyDescent="0.3">
      <c r="A99" s="46" t="s">
        <v>104</v>
      </c>
      <c r="B99" s="1">
        <f>E/aktsiaemissioon</f>
        <v>14.4</v>
      </c>
      <c r="C99" t="str">
        <f ca="1">_xlfn.FORMULATEXT(B99)</f>
        <v>=E/aktsiaemissioon</v>
      </c>
    </row>
    <row r="100" spans="1:8" x14ac:dyDescent="0.3">
      <c r="A100" s="46" t="s">
        <v>2</v>
      </c>
      <c r="B100" s="39">
        <f>EV/EBIT__ammort_ebitda</f>
        <v>7.7368421052631575</v>
      </c>
      <c r="C100" t="str">
        <f ca="1">_xlfn.FORMULATEXT(B100)</f>
        <v>=EV/EBIT__ammort_ebitda</v>
      </c>
    </row>
    <row r="102" spans="1:8" s="28" customFormat="1" ht="15" thickBot="1" x14ac:dyDescent="0.35">
      <c r="E102"/>
      <c r="F102"/>
      <c r="G102"/>
      <c r="H102"/>
    </row>
    <row r="103" spans="1:8" x14ac:dyDescent="0.3">
      <c r="A103" s="5" t="s">
        <v>135</v>
      </c>
      <c r="E103" s="83" t="s">
        <v>108</v>
      </c>
      <c r="F103" s="84"/>
      <c r="G103" s="84"/>
      <c r="H103" s="85"/>
    </row>
    <row r="104" spans="1:8" x14ac:dyDescent="0.3">
      <c r="E104" s="86"/>
      <c r="F104" s="87"/>
      <c r="G104" s="87"/>
      <c r="H104" s="88"/>
    </row>
    <row r="105" spans="1:8" x14ac:dyDescent="0.3">
      <c r="E105" s="86"/>
      <c r="F105" s="87"/>
      <c r="G105" s="87"/>
      <c r="H105" s="88"/>
    </row>
    <row r="106" spans="1:8" x14ac:dyDescent="0.3">
      <c r="A106" s="49" t="s">
        <v>134</v>
      </c>
      <c r="B106" s="51">
        <v>0.7</v>
      </c>
      <c r="E106" s="86"/>
      <c r="F106" s="87"/>
      <c r="G106" s="87"/>
      <c r="H106" s="88"/>
    </row>
    <row r="107" spans="1:8" ht="15" thickBot="1" x14ac:dyDescent="0.35">
      <c r="E107" s="89"/>
      <c r="F107" s="90"/>
      <c r="G107" s="90"/>
      <c r="H107" s="91"/>
    </row>
    <row r="109" spans="1:8" ht="15" thickBot="1" x14ac:dyDescent="0.35"/>
    <row r="110" spans="1:8" ht="15" thickBot="1" x14ac:dyDescent="0.35">
      <c r="A110" s="100" t="s">
        <v>94</v>
      </c>
      <c r="B110" s="101"/>
      <c r="C110" s="101"/>
      <c r="D110" s="101"/>
      <c r="E110" s="101"/>
      <c r="F110" s="102"/>
    </row>
    <row r="111" spans="1:8" x14ac:dyDescent="0.3">
      <c r="A111" s="34" t="s">
        <v>60</v>
      </c>
      <c r="B111" s="35">
        <v>2026</v>
      </c>
      <c r="C111" s="35">
        <v>2027</v>
      </c>
      <c r="D111" s="35">
        <v>2028</v>
      </c>
      <c r="E111" s="35">
        <v>2029</v>
      </c>
      <c r="F111" s="35">
        <v>2030</v>
      </c>
    </row>
    <row r="112" spans="1:8" ht="15" thickBot="1" x14ac:dyDescent="0.35">
      <c r="A112" s="22" t="s">
        <v>61</v>
      </c>
      <c r="B112" s="23">
        <v>18</v>
      </c>
      <c r="C112" s="23">
        <v>22</v>
      </c>
      <c r="D112" s="23">
        <v>26</v>
      </c>
      <c r="E112" s="23">
        <v>30</v>
      </c>
      <c r="F112" s="23">
        <v>34</v>
      </c>
    </row>
    <row r="113" spans="1:6" ht="15" thickBot="1" x14ac:dyDescent="0.35">
      <c r="A113" s="24"/>
      <c r="B113" s="25"/>
      <c r="C113" s="25"/>
      <c r="D113" s="25"/>
      <c r="E113" s="25"/>
      <c r="F113" s="25"/>
    </row>
    <row r="114" spans="1:6" ht="29.4" thickBot="1" x14ac:dyDescent="0.35">
      <c r="A114" s="26" t="s">
        <v>62</v>
      </c>
      <c r="B114" s="27">
        <v>5</v>
      </c>
      <c r="C114" s="27">
        <v>6</v>
      </c>
      <c r="D114" s="27">
        <v>7</v>
      </c>
      <c r="E114" s="27">
        <v>8</v>
      </c>
      <c r="F114" s="27">
        <v>9</v>
      </c>
    </row>
    <row r="115" spans="1:6" ht="15" thickBot="1" x14ac:dyDescent="0.35">
      <c r="A115" s="22" t="s">
        <v>63</v>
      </c>
      <c r="B115" s="23">
        <v>13</v>
      </c>
      <c r="C115" s="23">
        <v>16</v>
      </c>
      <c r="D115" s="23">
        <v>19</v>
      </c>
      <c r="E115" s="23">
        <v>22</v>
      </c>
      <c r="F115" s="23">
        <v>25</v>
      </c>
    </row>
    <row r="116" spans="1:6" ht="15" thickBot="1" x14ac:dyDescent="0.35">
      <c r="A116" s="24"/>
      <c r="B116" s="25"/>
      <c r="C116" s="25"/>
      <c r="D116" s="25"/>
      <c r="E116" s="25"/>
      <c r="F116" s="25"/>
    </row>
    <row r="117" spans="1:6" ht="15" thickBot="1" x14ac:dyDescent="0.35">
      <c r="A117" s="26" t="s">
        <v>64</v>
      </c>
      <c r="B117" s="27">
        <v>2</v>
      </c>
      <c r="C117" s="27">
        <v>3</v>
      </c>
      <c r="D117" s="27">
        <v>4</v>
      </c>
      <c r="E117" s="27">
        <v>5</v>
      </c>
      <c r="F117" s="27">
        <v>6</v>
      </c>
    </row>
    <row r="118" spans="1:6" ht="15" thickBot="1" x14ac:dyDescent="0.35">
      <c r="A118" s="26" t="s">
        <v>65</v>
      </c>
      <c r="B118" s="27">
        <v>3</v>
      </c>
      <c r="C118" s="27">
        <v>4</v>
      </c>
      <c r="D118" s="27">
        <v>5</v>
      </c>
      <c r="E118" s="27">
        <v>6</v>
      </c>
      <c r="F118" s="27">
        <v>7</v>
      </c>
    </row>
    <row r="119" spans="1:6" ht="15" thickBot="1" x14ac:dyDescent="0.35">
      <c r="A119" s="22" t="s">
        <v>66</v>
      </c>
      <c r="B119" s="23">
        <v>8</v>
      </c>
      <c r="C119" s="23">
        <v>9</v>
      </c>
      <c r="D119" s="23">
        <v>10</v>
      </c>
      <c r="E119" s="23">
        <v>11</v>
      </c>
      <c r="F119" s="23">
        <v>12</v>
      </c>
    </row>
    <row r="120" spans="1:6" ht="15" thickBot="1" x14ac:dyDescent="0.35">
      <c r="A120" s="24"/>
      <c r="B120" s="25"/>
      <c r="C120" s="25"/>
      <c r="D120" s="25"/>
      <c r="E120" s="25"/>
      <c r="F120" s="25"/>
    </row>
    <row r="121" spans="1:6" ht="29.4" thickBot="1" x14ac:dyDescent="0.35">
      <c r="A121" s="26" t="s">
        <v>67</v>
      </c>
      <c r="B121" s="27">
        <v>1</v>
      </c>
      <c r="C121" s="27">
        <v>1</v>
      </c>
      <c r="D121" s="27">
        <v>1</v>
      </c>
      <c r="E121" s="27">
        <v>1</v>
      </c>
      <c r="F121" s="27">
        <v>1</v>
      </c>
    </row>
    <row r="122" spans="1:6" ht="29.4" thickBot="1" x14ac:dyDescent="0.35">
      <c r="A122" s="26" t="s">
        <v>68</v>
      </c>
      <c r="B122" s="27">
        <v>1</v>
      </c>
      <c r="C122" s="27">
        <v>1</v>
      </c>
      <c r="D122" s="27">
        <v>1</v>
      </c>
      <c r="E122" s="27">
        <v>1</v>
      </c>
      <c r="F122" s="27">
        <v>1</v>
      </c>
    </row>
    <row r="123" spans="1:6" ht="15" thickBot="1" x14ac:dyDescent="0.35">
      <c r="A123" s="24"/>
      <c r="B123" s="25"/>
      <c r="C123" s="25"/>
      <c r="D123" s="25"/>
      <c r="E123" s="25"/>
      <c r="F123" s="25"/>
    </row>
    <row r="124" spans="1:6" ht="29.4" thickBot="1" x14ac:dyDescent="0.35">
      <c r="A124" s="22" t="s">
        <v>69</v>
      </c>
      <c r="B124" s="23">
        <v>6</v>
      </c>
      <c r="C124" s="23">
        <v>7</v>
      </c>
      <c r="D124" s="23">
        <v>8</v>
      </c>
      <c r="E124" s="23">
        <v>9</v>
      </c>
      <c r="F124" s="23">
        <v>10</v>
      </c>
    </row>
    <row r="128" spans="1:6" x14ac:dyDescent="0.3">
      <c r="A128" s="29" t="s">
        <v>81</v>
      </c>
      <c r="B128" s="29" t="s">
        <v>82</v>
      </c>
      <c r="C128" s="29" t="s">
        <v>136</v>
      </c>
    </row>
    <row r="129" spans="1:5" x14ac:dyDescent="0.3">
      <c r="A129" s="1">
        <v>1</v>
      </c>
      <c r="B129" s="1">
        <v>6</v>
      </c>
      <c r="C129" s="39">
        <f>B129/(1+WACC)^A129</f>
        <v>5.4545454545454541</v>
      </c>
      <c r="D129" t="str">
        <f ca="1">_xlfn.FORMULATEXT(C129)</f>
        <v>=B129/(1+WACC)^A129</v>
      </c>
    </row>
    <row r="130" spans="1:5" x14ac:dyDescent="0.3">
      <c r="A130" s="1">
        <v>2</v>
      </c>
      <c r="B130" s="1">
        <v>7</v>
      </c>
      <c r="C130" s="39">
        <f>B130/(1+WACC)^A130</f>
        <v>5.7851239669421481</v>
      </c>
      <c r="D130" t="str">
        <f ca="1">_xlfn.FORMULATEXT(C130)</f>
        <v>=B130/(1+WACC)^A130</v>
      </c>
    </row>
    <row r="131" spans="1:5" x14ac:dyDescent="0.3">
      <c r="A131" s="1">
        <v>3</v>
      </c>
      <c r="B131" s="1">
        <v>8</v>
      </c>
      <c r="C131" s="39">
        <f>B131/(1+WACC)^A131</f>
        <v>6.0105184072126203</v>
      </c>
      <c r="D131" t="str">
        <f ca="1">_xlfn.FORMULATEXT(C131)</f>
        <v>=B131/(1+WACC)^A131</v>
      </c>
    </row>
    <row r="132" spans="1:5" x14ac:dyDescent="0.3">
      <c r="A132" s="1">
        <v>4</v>
      </c>
      <c r="B132" s="1">
        <v>9</v>
      </c>
      <c r="C132" s="39">
        <f>B132/(1+WACC)^A132</f>
        <v>6.1471210982856341</v>
      </c>
      <c r="D132" t="str">
        <f ca="1">_xlfn.FORMULATEXT(C132)</f>
        <v>=B132/(1+WACC)^A132</v>
      </c>
    </row>
    <row r="133" spans="1:5" x14ac:dyDescent="0.3">
      <c r="A133" s="1">
        <v>5</v>
      </c>
      <c r="B133" s="1">
        <v>10</v>
      </c>
      <c r="C133" s="39">
        <f>B133/(1+WACC)^A133</f>
        <v>6.2092132305915495</v>
      </c>
      <c r="D133" t="str">
        <f ca="1">_xlfn.FORMULATEXT(C133)</f>
        <v>=B133/(1+WACC)^A133</v>
      </c>
    </row>
    <row r="134" spans="1:5" x14ac:dyDescent="0.3">
      <c r="A134" s="58" t="s">
        <v>83</v>
      </c>
      <c r="B134" s="58"/>
      <c r="C134" s="59">
        <f>SUM(C129:C133)</f>
        <v>29.606522157577402</v>
      </c>
      <c r="D134" t="str">
        <f ca="1">_xlfn.FORMULATEXT(EV_kokku_26_30)</f>
        <v>=SUM(C129:C133)</v>
      </c>
    </row>
    <row r="135" spans="1:5" x14ac:dyDescent="0.3">
      <c r="A135" s="5"/>
    </row>
    <row r="136" spans="1:5" x14ac:dyDescent="0.3">
      <c r="A136" s="5"/>
    </row>
    <row r="137" spans="1:5" x14ac:dyDescent="0.3">
      <c r="A137" s="103" t="s">
        <v>70</v>
      </c>
      <c r="B137" s="104"/>
    </row>
    <row r="138" spans="1:5" x14ac:dyDescent="0.3">
      <c r="A138" s="1" t="s">
        <v>71</v>
      </c>
      <c r="B138" s="1">
        <v>0.6</v>
      </c>
    </row>
    <row r="139" spans="1:5" x14ac:dyDescent="0.3">
      <c r="A139" s="1" t="s">
        <v>72</v>
      </c>
      <c r="B139" s="1">
        <v>0.4</v>
      </c>
    </row>
    <row r="140" spans="1:5" ht="15" thickBot="1" x14ac:dyDescent="0.35"/>
    <row r="141" spans="1:5" ht="15" thickBot="1" x14ac:dyDescent="0.35">
      <c r="A141" s="92" t="s">
        <v>88</v>
      </c>
      <c r="B141" s="92"/>
      <c r="E141" s="19" t="s">
        <v>38</v>
      </c>
    </row>
    <row r="142" spans="1:5" x14ac:dyDescent="0.3">
      <c r="A142" s="1" t="s">
        <v>89</v>
      </c>
      <c r="B142" s="1">
        <v>45</v>
      </c>
      <c r="D142" t="s">
        <v>137</v>
      </c>
      <c r="E142" s="9" t="s">
        <v>87</v>
      </c>
    </row>
    <row r="143" spans="1:5" x14ac:dyDescent="0.3">
      <c r="A143" s="1" t="s">
        <v>90</v>
      </c>
      <c r="B143" s="41">
        <v>0.04</v>
      </c>
    </row>
    <row r="144" spans="1:5" x14ac:dyDescent="0.3">
      <c r="A144" s="1" t="s">
        <v>73</v>
      </c>
      <c r="B144" s="50">
        <v>0.03</v>
      </c>
    </row>
    <row r="145" spans="1:3" x14ac:dyDescent="0.3">
      <c r="A145" s="1" t="s">
        <v>74</v>
      </c>
      <c r="B145" s="1">
        <v>1.5</v>
      </c>
    </row>
    <row r="146" spans="1:3" x14ac:dyDescent="0.3">
      <c r="A146" s="1" t="s">
        <v>75</v>
      </c>
      <c r="B146" s="50">
        <v>0.06</v>
      </c>
    </row>
    <row r="147" spans="1:3" x14ac:dyDescent="0.3">
      <c r="A147" s="1" t="s">
        <v>76</v>
      </c>
      <c r="B147" s="50">
        <v>0.02</v>
      </c>
    </row>
    <row r="148" spans="1:3" x14ac:dyDescent="0.3">
      <c r="A148" s="1" t="s">
        <v>77</v>
      </c>
      <c r="B148" s="50">
        <v>0.1</v>
      </c>
    </row>
    <row r="149" spans="1:3" x14ac:dyDescent="0.3">
      <c r="A149" s="1" t="s">
        <v>78</v>
      </c>
      <c r="B149" s="50">
        <v>0.02</v>
      </c>
    </row>
    <row r="150" spans="1:3" x14ac:dyDescent="0.3">
      <c r="A150" s="1" t="s">
        <v>91</v>
      </c>
      <c r="B150" s="1">
        <v>5</v>
      </c>
    </row>
    <row r="151" spans="1:3" x14ac:dyDescent="0.3">
      <c r="A151" s="1" t="s">
        <v>92</v>
      </c>
      <c r="B151" s="1">
        <v>3</v>
      </c>
    </row>
    <row r="152" spans="1:3" x14ac:dyDescent="0.3">
      <c r="A152" s="1" t="s">
        <v>93</v>
      </c>
      <c r="B152" s="1">
        <v>2</v>
      </c>
    </row>
    <row r="153" spans="1:3" x14ac:dyDescent="0.3">
      <c r="A153" s="1" t="s">
        <v>79</v>
      </c>
      <c r="B153" s="50">
        <f>riskivaba_intressimäär+beeta*(turu_riskipreemia)+riskipreemia_lisaks_CAPMile</f>
        <v>0.13999999999999999</v>
      </c>
      <c r="C153" s="7" t="str">
        <f ca="1">_xlfn.FORMULATEXT(Re)</f>
        <v>=riskivaba_intressimäär+beeta*(turu_riskipreemia)+riskipreemia_lisaks_CAPMile</v>
      </c>
    </row>
    <row r="154" spans="1:3" x14ac:dyDescent="0.3">
      <c r="A154" s="1" t="s">
        <v>80</v>
      </c>
      <c r="B154" s="50">
        <f>omakapital*Re+võõrkapital*laenude_intress</f>
        <v>9.9999999999999992E-2</v>
      </c>
      <c r="C154" s="7" t="str">
        <f ca="1">_xlfn.FORMULATEXT(WACC)</f>
        <v>=omakapital*Re+võõrkapital*laenude_intress</v>
      </c>
    </row>
    <row r="155" spans="1:3" x14ac:dyDescent="0.3">
      <c r="A155" s="5"/>
    </row>
    <row r="157" spans="1:3" x14ac:dyDescent="0.3">
      <c r="A157" s="1" t="s">
        <v>95</v>
      </c>
      <c r="B157" s="20">
        <f>ettevõtte_väärtus-laenude_hulk</f>
        <v>63.773990847619672</v>
      </c>
      <c r="C157" t="str">
        <f ca="1">_xlfn.FORMULATEXT(EV_miinus_laenud)</f>
        <v>=ettevõtte_väärtus-laenude_hulk</v>
      </c>
    </row>
    <row r="158" spans="1:3" x14ac:dyDescent="0.3">
      <c r="A158" s="1" t="s">
        <v>113</v>
      </c>
      <c r="B158" s="20">
        <f>EV_miinus_laenud*(1+kontrollpreemia__sünergia)</f>
        <v>70.151389932381647</v>
      </c>
      <c r="C158" t="str">
        <f ca="1">_xlfn.FORMULATEXT(omakapital_kontrollpreemiaga)</f>
        <v>=EV_miinus_laenud*(1+kontrollpreemia__sünergia)</v>
      </c>
    </row>
    <row r="159" spans="1:3" x14ac:dyDescent="0.3">
      <c r="A159" s="1" t="s">
        <v>111</v>
      </c>
      <c r="B159" s="20">
        <f>omakapital_kontrollpreemiaga+vaba_raha_kontol+rahaturufondi_osakute_väärtus</f>
        <v>78.151389932381647</v>
      </c>
      <c r="C159" t="str">
        <f ca="1">_xlfn.FORMULATEXT(omakapitali_väärtus__milj)</f>
        <v>=omakapital_kontrollpreemiaga+vaba_raha_kontol+rahaturufondi_osakute_väärtus</v>
      </c>
    </row>
    <row r="160" spans="1:3" x14ac:dyDescent="0.3">
      <c r="A160" s="1" t="s">
        <v>112</v>
      </c>
      <c r="B160" s="38">
        <f>(B133*(1+vaba_raha_kasvumäär_peale_2030))/(WACC-vaba_raha_kasvumäär_peale_2030)</f>
        <v>127.50000000000001</v>
      </c>
      <c r="C160" s="7" t="str">
        <f ca="1">_xlfn.FORMULATEXT(B160)</f>
        <v>=(B133*(1+vaba_raha_kasvumäär_peale_2030))/(WACC-vaba_raha_kasvumäär_peale_2030)</v>
      </c>
    </row>
    <row r="161" spans="1:3" x14ac:dyDescent="0.3">
      <c r="A161" s="1" t="s">
        <v>84</v>
      </c>
      <c r="B161" s="20">
        <f>terminaalväärtus/(1+WACC)^A133</f>
        <v>79.16746869004227</v>
      </c>
      <c r="C161" s="7" t="str">
        <f ca="1">_xlfn.FORMULATEXT(diskonteeritud_TV)</f>
        <v>=terminaalväärtus/(1+WACC)^A133</v>
      </c>
    </row>
    <row r="162" spans="1:3" x14ac:dyDescent="0.3">
      <c r="A162" s="1" t="s">
        <v>96</v>
      </c>
      <c r="B162" s="20">
        <f>diskonteeritud_TV+EV_kokku_26_30</f>
        <v>108.77399084761967</v>
      </c>
      <c r="C162" s="7" t="str">
        <f ca="1">_xlfn.FORMULATEXT(B162)</f>
        <v>=diskonteeritud_TV+EV_kokku_26_30</v>
      </c>
    </row>
    <row r="163" spans="1:3" x14ac:dyDescent="0.3">
      <c r="A163" s="1" t="s">
        <v>133</v>
      </c>
      <c r="B163" s="20">
        <f>omakapitali_väärtus__milj*osalus_ettevõttes</f>
        <v>54.705972952667153</v>
      </c>
      <c r="C163" t="str">
        <f ca="1">_xlfn.FORMULATEXT(B163)</f>
        <v>=omakapitali_väärtus__milj*osalus_ettevõttes</v>
      </c>
    </row>
    <row r="166" spans="1:3" x14ac:dyDescent="0.3">
      <c r="A166" s="37" t="s">
        <v>97</v>
      </c>
      <c r="B166" s="36">
        <f>omakapitali_väärtus__milj/emiteeritud_aktsiad</f>
        <v>39.075694966190824</v>
      </c>
      <c r="C166" t="str">
        <f ca="1">_xlfn.FORMULATEXT(B166)</f>
        <v>=omakapitali_väärtus__milj/emiteeritud_aktsiad</v>
      </c>
    </row>
  </sheetData>
  <mergeCells count="18">
    <mergeCell ref="E103:H107"/>
    <mergeCell ref="A141:B141"/>
    <mergeCell ref="A110:F110"/>
    <mergeCell ref="A137:B137"/>
    <mergeCell ref="A81:B81"/>
    <mergeCell ref="A31:B31"/>
    <mergeCell ref="A37:B37"/>
    <mergeCell ref="A75:B78"/>
    <mergeCell ref="K76:N77"/>
    <mergeCell ref="E1:H1"/>
    <mergeCell ref="E75:H78"/>
    <mergeCell ref="A53:B53"/>
    <mergeCell ref="E51:H51"/>
    <mergeCell ref="D3:J3"/>
    <mergeCell ref="A3:B3"/>
    <mergeCell ref="A43:B43"/>
    <mergeCell ref="A23:B23"/>
    <mergeCell ref="A27:B27"/>
  </mergeCells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ba64f2-343f-4c5c-95c4-82115ee1b8d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A166640C2EA842BCCB49D73418B8AA" ma:contentTypeVersion="6" ma:contentTypeDescription="Create a new document." ma:contentTypeScope="" ma:versionID="6c7b5823141d5f50aecfda947f62cb43">
  <xsd:schema xmlns:xsd="http://www.w3.org/2001/XMLSchema" xmlns:xs="http://www.w3.org/2001/XMLSchema" xmlns:p="http://schemas.microsoft.com/office/2006/metadata/properties" xmlns:ns3="08ba64f2-343f-4c5c-95c4-82115ee1b8db" targetNamespace="http://schemas.microsoft.com/office/2006/metadata/properties" ma:root="true" ma:fieldsID="c05ad268ab1b9e2496aa02943423bef6" ns3:_="">
    <xsd:import namespace="08ba64f2-343f-4c5c-95c4-82115ee1b8d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a64f2-343f-4c5c-95c4-82115ee1b8d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BF41E7-7EAD-468F-A1A2-56A2442CB0C9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08ba64f2-343f-4c5c-95c4-82115ee1b8db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74B4E03-4F97-492B-B120-1771FF6EE6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84E45C-C98C-4C25-ABAE-4455207BD9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ba64f2-343f-4c5c-95c4-82115ee1b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61</vt:i4>
      </vt:variant>
    </vt:vector>
  </HeadingPairs>
  <TitlesOfParts>
    <vt:vector size="62" baseType="lpstr">
      <vt:lpstr>Sheet1</vt:lpstr>
      <vt:lpstr>aktsia__hind</vt:lpstr>
      <vt:lpstr>aktsia_hind</vt:lpstr>
      <vt:lpstr>aktsiaemissioon</vt:lpstr>
      <vt:lpstr>aktsiaemissiooni_suurus</vt:lpstr>
      <vt:lpstr>ammortisatsioon</vt:lpstr>
      <vt:lpstr>beeta</vt:lpstr>
      <vt:lpstr>brutoinvesteeringud</vt:lpstr>
      <vt:lpstr>diskonteeritud_TV</vt:lpstr>
      <vt:lpstr>Div1_</vt:lpstr>
      <vt:lpstr>dividend_aktsia_kohta_div0</vt:lpstr>
      <vt:lpstr>E</vt:lpstr>
      <vt:lpstr>EBIT__ammort_ebitda</vt:lpstr>
      <vt:lpstr>EBITDA</vt:lpstr>
      <vt:lpstr>eelmise_aasta_kasum</vt:lpstr>
      <vt:lpstr>emiteeritud_aktsiad</vt:lpstr>
      <vt:lpstr>ettevõtte_väärtus</vt:lpstr>
      <vt:lpstr>EV</vt:lpstr>
      <vt:lpstr>EV_EBITDA_mediaan</vt:lpstr>
      <vt:lpstr>EV_EV_EBITDA_mediaanist_tuletatuna</vt:lpstr>
      <vt:lpstr>EV_EV_S_mediaanist_tuletatuna</vt:lpstr>
      <vt:lpstr>EV_kokku_26_30</vt:lpstr>
      <vt:lpstr>EV_miinus_laenud</vt:lpstr>
      <vt:lpstr>EV_S_mediaan</vt:lpstr>
      <vt:lpstr>intresse_kandvad_kohustused</vt:lpstr>
      <vt:lpstr>kapitali_hind</vt:lpstr>
      <vt:lpstr>kasum_AKTSIA_kohta</vt:lpstr>
      <vt:lpstr>Kasum_ühe_aktsia_kohta</vt:lpstr>
      <vt:lpstr>kontrollpreemia__sünergia</vt:lpstr>
      <vt:lpstr>laenude_hulk</vt:lpstr>
      <vt:lpstr>laenude_intress</vt:lpstr>
      <vt:lpstr>müügitulu</vt:lpstr>
      <vt:lpstr>netolaenude_summa</vt:lpstr>
      <vt:lpstr>omakapital</vt:lpstr>
      <vt:lpstr>omakapital_kontrollpreemiaga</vt:lpstr>
      <vt:lpstr>omakapitali_bil._Väärtus</vt:lpstr>
      <vt:lpstr>omakapitali_bil._Väätus_AKTSIA_kohta</vt:lpstr>
      <vt:lpstr>omakapitali_bil_väärtus_aktsia_kohta</vt:lpstr>
      <vt:lpstr>omakapitali_turuväärtus</vt:lpstr>
      <vt:lpstr>omakapitali_väärtus__milj</vt:lpstr>
      <vt:lpstr>omanike_nõutav_tulumäär_Re</vt:lpstr>
      <vt:lpstr>osalus_ettevõttes</vt:lpstr>
      <vt:lpstr>P_B_mediaan</vt:lpstr>
      <vt:lpstr>P_E_mediaan</vt:lpstr>
      <vt:lpstr>puhaskasumi_kasvumäär</vt:lpstr>
      <vt:lpstr>puhaskäibekapital_NWC_kasv</vt:lpstr>
      <vt:lpstr>raha_ja_ekvivalendid</vt:lpstr>
      <vt:lpstr>rahaturufondi_osakute_väärtus</vt:lpstr>
      <vt:lpstr>Re</vt:lpstr>
      <vt:lpstr>riskipreemia_lisaks_CAPMile</vt:lpstr>
      <vt:lpstr>riskivaba_intressimäär</vt:lpstr>
      <vt:lpstr>terminaalväärtus</vt:lpstr>
      <vt:lpstr>TM_kasumilt</vt:lpstr>
      <vt:lpstr>turu_riskipreemia</vt:lpstr>
      <vt:lpstr>turukapitalisatsioon</vt:lpstr>
      <vt:lpstr>uus_fcff_kasvumäär</vt:lpstr>
      <vt:lpstr>vaba_raha_kasvumäär_peale_2030</vt:lpstr>
      <vt:lpstr>vaba_raha_kontol</vt:lpstr>
      <vt:lpstr>vaba_rahavoog_ettevõttele_FCFF</vt:lpstr>
      <vt:lpstr>WACC</vt:lpstr>
      <vt:lpstr>viimase_aasta_ärikasum_EBIT</vt:lpstr>
      <vt:lpstr>võõrkapital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Erik Lüllman</dc:creator>
  <cp:lastModifiedBy>markus Lüllman</cp:lastModifiedBy>
  <dcterms:created xsi:type="dcterms:W3CDTF">2025-12-27T16:02:33Z</dcterms:created>
  <dcterms:modified xsi:type="dcterms:W3CDTF">2026-07-17T11:54:25Z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0x01010005A166640C2EA842BCCB49D73418B8AA</vt:lpwstr>
  </property>
</Properties>
</file>