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8c36b14c3f46f3/Desktop/Rahanduse tehtud harjutused/"/>
    </mc:Choice>
  </mc:AlternateContent>
  <xr:revisionPtr revIDLastSave="372" documentId="8_{231EAE9B-97AE-4F4E-8BFE-ECEC9543345E}" xr6:coauthVersionLast="47" xr6:coauthVersionMax="47" xr10:uidLastSave="{F2442173-8ADF-41EF-9236-38E49B7A8FC2}"/>
  <bookViews>
    <workbookView xWindow="-108" yWindow="-108" windowWidth="23256" windowHeight="12456" xr2:uid="{2DDE5B6B-6D45-4C0B-9EDE-EA72E1322C9C}"/>
  </bookViews>
  <sheets>
    <sheet name="Sheet1" sheetId="1" r:id="rId1"/>
  </sheets>
  <definedNames>
    <definedName name="aasta_lõpus_makstav_pangalaen">Sheet1!$B$78</definedName>
    <definedName name="aktsia_hind">Sheet1!$B$31</definedName>
    <definedName name="aktsia_kogus_peale_reverse_split">Sheet1!$B$45</definedName>
    <definedName name="aktsia_reverse_split">Sheet1!$B$44</definedName>
    <definedName name="aktsia_split">Sheet1!$B$39</definedName>
    <definedName name="aktsiadividend">Sheet1!$B$33</definedName>
    <definedName name="algne_aktsiate_kogus">Sheet1!$B$32</definedName>
    <definedName name="ammort_jarg_aasta">Sheet1!$C$63</definedName>
    <definedName name="ammortisatsioon">Sheet1!$B$63</definedName>
    <definedName name="dividendi_suurus_arvestades_optimaalseks_peevatat_raha_jääki">Sheet1!$B$84</definedName>
    <definedName name="EBIT_jarg_aasta">Sheet1!$C$64</definedName>
    <definedName name="FCFE">Sheet1!$B$83</definedName>
    <definedName name="Intressikulud">Sheet1!$B$65</definedName>
    <definedName name="intressikulud_jarg_aasta">Sheet1!$C$65</definedName>
    <definedName name="Intressikulude_suurenemine">Sheet1!$B$79</definedName>
    <definedName name="investeeringud_põhivarasse">Sheet1!$B$76</definedName>
    <definedName name="kasv_käibekapitali_vajaduses">Sheet1!$B$75</definedName>
    <definedName name="kasvumäär__müügitulu__kulum_ja_ärikasum">Sheet1!$B$71</definedName>
    <definedName name="käibekapitali_vajadus">Sheet1!$B$74</definedName>
    <definedName name="käibekapitali_vajadus_müügituludest">Sheet1!$B$73</definedName>
    <definedName name="Maksude_eelne_kasum">Sheet1!$B$66</definedName>
    <definedName name="Maksude_eelne_kasum_jarg_aasta">Sheet1!$C$66</definedName>
    <definedName name="muugikulu_jarg_aasta">Sheet1!$C$62</definedName>
    <definedName name="muugitulud_järgmine_aasta">Sheet1!$C$61</definedName>
    <definedName name="Müügikulu__COGS">Sheet1!$B$62</definedName>
    <definedName name="Müügitulud">Sheet1!$B$61</definedName>
    <definedName name="optimaalne_rahajääk">Sheet1!$B$81</definedName>
    <definedName name="Puhaskasum">Sheet1!$B$68</definedName>
    <definedName name="puhaskasum_jarg_aasta">Sheet1!$C$68</definedName>
    <definedName name="rahajääk">Sheet1!$B$80</definedName>
    <definedName name="TM_kasumilt">Sheet1!$B$72</definedName>
    <definedName name="Tulumaks_kasumilt">Sheet1!$B$67</definedName>
    <definedName name="Tulumaks_kasumilt_jarg_aasta">Sheet1!$C$67</definedName>
    <definedName name="uus_aktsia_hind">Sheet1!$B$35</definedName>
    <definedName name="uus_aktsia_kogus">Sheet1!$B$34</definedName>
    <definedName name="uus_aktsiate_kogus">Sheet1!$B$40</definedName>
    <definedName name="võlakirja_emissioon">Sheet1!$B$77</definedName>
    <definedName name="Ärikasum__EBIT">Sheet1!$B$64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8" i="1" l="1"/>
  <c r="B109" i="1"/>
  <c r="B110" i="1"/>
  <c r="C110" i="1" s="1"/>
  <c r="D110" i="1" s="1"/>
  <c r="B107" i="1"/>
  <c r="B74" i="1"/>
  <c r="B75" i="1" s="1"/>
  <c r="C65" i="1"/>
  <c r="B64" i="1"/>
  <c r="B66" i="1" s="1"/>
  <c r="B68" i="1" s="1"/>
  <c r="C63" i="1"/>
  <c r="C62" i="1"/>
  <c r="C61" i="1"/>
  <c r="D61" i="1"/>
  <c r="C39" i="1"/>
  <c r="D67" i="1"/>
  <c r="D68" i="1"/>
  <c r="D63" i="1"/>
  <c r="C85" i="1"/>
  <c r="C84" i="1"/>
  <c r="C83" i="1"/>
  <c r="C74" i="1"/>
  <c r="D64" i="1"/>
  <c r="D66" i="1"/>
  <c r="D62" i="1"/>
  <c r="C44" i="1"/>
  <c r="C75" i="1"/>
  <c r="D65" i="1"/>
  <c r="C64" i="1" l="1"/>
  <c r="C66" i="1" s="1"/>
  <c r="B34" i="1"/>
  <c r="B35" i="1" s="1"/>
  <c r="B44" i="1"/>
  <c r="B45" i="1" s="1"/>
  <c r="B46" i="1" s="1"/>
  <c r="B39" i="1"/>
  <c r="B40" i="1" s="1"/>
  <c r="B41" i="1" s="1"/>
  <c r="C35" i="1"/>
  <c r="C45" i="1"/>
  <c r="C34" i="1"/>
  <c r="C40" i="1"/>
  <c r="C67" i="1" l="1"/>
  <c r="C68" i="1" s="1"/>
  <c r="B83" i="1" s="1"/>
  <c r="B84" i="1" s="1"/>
  <c r="B85" i="1" s="1"/>
  <c r="B125" i="1" l="1"/>
  <c r="D125" i="1"/>
  <c r="B127" i="1"/>
  <c r="C127" i="1" s="1"/>
  <c r="D127" i="1" s="1"/>
  <c r="B128" i="1"/>
  <c r="C128" i="1" s="1"/>
  <c r="D128" i="1" s="1"/>
  <c r="B126" i="1"/>
  <c r="C126" i="1" s="1"/>
  <c r="D126" i="1" s="1"/>
  <c r="C107" i="1"/>
  <c r="D107" i="1" s="1"/>
  <c r="C109" i="1"/>
  <c r="D109" i="1" s="1"/>
  <c r="C108" i="1"/>
  <c r="D108" i="1" s="1"/>
  <c r="B120" i="1"/>
  <c r="B102" i="1"/>
  <c r="B103" i="1" s="1"/>
  <c r="C46" i="1"/>
  <c r="C4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tc={5F67E51C-574C-4736-A7F0-A516425FE0C9}</author>
    <author>tc={A3F70BCC-A37F-42E7-8CC7-1D63F647336D}</author>
  </authors>
  <commentList>
    <comment ref="C62" authorId="0" shapeId="0" xr:uid="{5F67E51C-574C-4736-A7F0-A516425FE0C9}">
      <text>
        <t>[Threaded comment]
Your version of Excel allows you to read this threaded comment; however, any edits to it will get removed if the file is opened in a newer version of Excel. Learn more: https://go.microsoft.com/fwlink/?linkid=870924
Comment:
    antud juhul tuleb müügitulu koguse kasvust</t>
      </text>
    </comment>
    <comment ref="A85" authorId="1" shapeId="0" xr:uid="{A3F70BCC-A37F-42E7-8CC7-1D63F647336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näitab, kui suure osa ettevõtte prognoositavast kasumist plaanitakse dividendidena aktsionäridele välja maksta </t>
      </text>
    </comment>
  </commentList>
</comments>
</file>

<file path=xl/sharedStrings.xml><?xml version="1.0" encoding="utf-8"?>
<sst xmlns="http://schemas.openxmlformats.org/spreadsheetml/2006/main" count="87" uniqueCount="80">
  <si>
    <t>1.</t>
  </si>
  <si>
    <t xml:space="preserve"> ettevõtte dividendi maksmise suurendamise või maksmise algatamise tõlgendus:</t>
  </si>
  <si>
    <t>2.</t>
  </si>
  <si>
    <t>3.</t>
  </si>
  <si>
    <t>aktsia hind</t>
  </si>
  <si>
    <t>uus aktsia hind</t>
  </si>
  <si>
    <t>aktsia split</t>
  </si>
  <si>
    <t>uus aktsia kogus</t>
  </si>
  <si>
    <t xml:space="preserve">hea uudis, kuna väiksem agendikulude oht ning väiksem oht et ettevõte teeb rahaga midagi, mis ei ole kooskõlas investorite vaadetega nagu investeerimine negatiivse NPVga projektidesse. </t>
  </si>
  <si>
    <r>
      <rPr>
        <b/>
        <u/>
        <sz val="11"/>
        <color theme="1"/>
        <rFont val="Aptos Narrow"/>
        <family val="2"/>
        <scheme val="minor"/>
      </rPr>
      <t xml:space="preserve">Kindel </t>
    </r>
    <r>
      <rPr>
        <sz val="11"/>
        <color theme="1"/>
        <rFont val="Aptos Narrow"/>
        <family val="2"/>
        <charset val="186"/>
        <scheme val="minor"/>
      </rPr>
      <t>dividendimakse väärtuslikum kui ebakindel kapitalikasum tulevikus, näitab ettevõtte võimekust maksta dividende</t>
    </r>
  </si>
  <si>
    <r>
      <t xml:space="preserve">ettevõtted, kes maksavad rohkem dividende, paistavad olema </t>
    </r>
    <r>
      <rPr>
        <b/>
        <sz val="11"/>
        <color theme="1"/>
        <rFont val="Aptos Narrow"/>
        <family val="2"/>
        <scheme val="minor"/>
      </rPr>
      <t xml:space="preserve">vähem riskantsemad </t>
    </r>
    <r>
      <rPr>
        <sz val="11"/>
        <color theme="1"/>
        <rFont val="Aptos Narrow"/>
        <family val="2"/>
        <charset val="186"/>
        <scheme val="minor"/>
      </rPr>
      <t>ning see vähendab kapitali hinda WACC</t>
    </r>
  </si>
  <si>
    <r>
      <rPr>
        <b/>
        <u/>
        <sz val="11"/>
        <color theme="1"/>
        <rFont val="Aptos Narrow"/>
        <family val="2"/>
        <scheme val="minor"/>
      </rPr>
      <t>aktsia</t>
    </r>
    <r>
      <rPr>
        <sz val="11"/>
        <color theme="1"/>
        <rFont val="Aptos Narrow"/>
        <family val="2"/>
        <charset val="186"/>
        <scheme val="minor"/>
      </rPr>
      <t>dividend</t>
    </r>
  </si>
  <si>
    <t>investeeringu väärtus ei muutu, kuna ettevõtte bilanss ei muutu, kuid aktsia ise kas muutub kallimaks või odavamaks vastavalt turule</t>
  </si>
  <si>
    <t>split tehakse, kui aktsia väärtus liiga kõrgeks või madalaks on muutunud ning investoreid ligi meelitada(psühholoogiline)</t>
  </si>
  <si>
    <t>aktsiakapital suureneb vaba omakapitali arvelt</t>
  </si>
  <si>
    <t xml:space="preserve">4. </t>
  </si>
  <si>
    <t>suurem aktsiakapital kujutab ettevõtet vähem riskatsemana, kuna kasutab vähem võimendust ja rohkem enda varasid</t>
  </si>
  <si>
    <t>Müügitulud</t>
  </si>
  <si>
    <t xml:space="preserve">Müügikulu (COGS) </t>
  </si>
  <si>
    <t>Ärikasum (EBIT)</t>
  </si>
  <si>
    <t>Intressikulud</t>
  </si>
  <si>
    <t>Maksude eelne kasum</t>
  </si>
  <si>
    <t>Tulumaks kasumilt</t>
  </si>
  <si>
    <t>Puhaskasum</t>
  </si>
  <si>
    <t>TM kasumilt</t>
  </si>
  <si>
    <t>FCFE</t>
  </si>
  <si>
    <t>ammortisatsioon</t>
  </si>
  <si>
    <t>järgmine aasta</t>
  </si>
  <si>
    <r>
      <t>kasvumäär (</t>
    </r>
    <r>
      <rPr>
        <b/>
        <sz val="11"/>
        <color theme="1"/>
        <rFont val="Calibri"/>
        <family val="2"/>
      </rPr>
      <t>müügitulu, kulum ja ärikasum</t>
    </r>
    <r>
      <rPr>
        <sz val="11"/>
        <color theme="1"/>
        <rFont val="Calibri"/>
        <family val="2"/>
      </rPr>
      <t xml:space="preserve"> )</t>
    </r>
  </si>
  <si>
    <t>dividendi suurus arvestades optimaalseks peevatat raha jääki</t>
  </si>
  <si>
    <t>prognoositav dividendide väljamakse kordaja.</t>
  </si>
  <si>
    <t>5.</t>
  </si>
  <si>
    <t>lihtaktsia turuhind</t>
  </si>
  <si>
    <t>optsiooni preemia</t>
  </si>
  <si>
    <t>optsiooni sisemine väärtus ostuhetkel</t>
  </si>
  <si>
    <t>=optsioonipreemia -optsiooni sisemine väärtus</t>
  </si>
  <si>
    <t>optsiooni väärtus</t>
  </si>
  <si>
    <t>kasum/kahjum</t>
  </si>
  <si>
    <t>tootlus</t>
  </si>
  <si>
    <t>lihtaktsia väärtused OSTUoptsiooni täitmispäeval</t>
  </si>
  <si>
    <t>Näide 2</t>
  </si>
  <si>
    <t>optsiooni sisemine väärtus</t>
  </si>
  <si>
    <t>ajaväärtus</t>
  </si>
  <si>
    <t>optsiooni ajaväärtus extrensic value</t>
  </si>
  <si>
    <r>
      <rPr>
        <u/>
        <sz val="11"/>
        <color theme="1"/>
        <rFont val="Aptos Narrow"/>
        <family val="2"/>
        <scheme val="minor"/>
      </rPr>
      <t xml:space="preserve">lihtaktsia väärtused </t>
    </r>
    <r>
      <rPr>
        <b/>
        <sz val="11"/>
        <color theme="1"/>
        <rFont val="Aptos Narrow"/>
        <family val="2"/>
        <scheme val="minor"/>
      </rPr>
      <t>müüg</t>
    </r>
    <r>
      <rPr>
        <sz val="11"/>
        <color theme="1"/>
        <rFont val="Aptos Narrow"/>
        <family val="2"/>
        <charset val="186"/>
        <scheme val="minor"/>
      </rPr>
      <t>ioptsiooni täitmispäeval</t>
    </r>
  </si>
  <si>
    <t>lihtaktsia müügioptsiooni hind MÜÜMISEL</t>
  </si>
  <si>
    <r>
      <t xml:space="preserve">optsiooni hind aktsia </t>
    </r>
    <r>
      <rPr>
        <b/>
        <sz val="11"/>
        <color theme="1"/>
        <rFont val="Aptos Narrow"/>
        <family val="2"/>
        <scheme val="minor"/>
      </rPr>
      <t>ostmiseks</t>
    </r>
    <r>
      <rPr>
        <sz val="11"/>
        <color theme="1"/>
        <rFont val="Aptos Narrow"/>
        <family val="2"/>
        <charset val="186"/>
        <scheme val="minor"/>
      </rPr>
      <t xml:space="preserve"> 2 kuu pärast STRIKE</t>
    </r>
  </si>
  <si>
    <t>=aktsia vm turuhind - STRIKE e tehinguhind</t>
  </si>
  <si>
    <t>uus aktsiate kogus</t>
  </si>
  <si>
    <t>dividendipoliitika</t>
  </si>
  <si>
    <t>aktsia split ja dividend</t>
  </si>
  <si>
    <t>halb uudis, kuna ettevõttel ei pruugi olla väljavaateid mida vaba kapitaliga teha</t>
  </si>
  <si>
    <t>aktsiate tagasiostu eelised dividendide maksmise ees. Kuidas võib seda tõlgendada positiivse signaalina?</t>
  </si>
  <si>
    <t>1) Juhtkond leiab, et aktsia on alahinnatud võrreldes ettevõtte tegeliku väärtusega, suurendades seeläbi investorite usaldust</t>
  </si>
  <si>
    <t>2) kasum aktsia kohta suureneb, kuna aktsiate arv väheneb ning kasum jaotub vähemate aktsiate peale</t>
  </si>
  <si>
    <t>2.1) Samuti suureneb aktsionäride osalus ettevõttes</t>
  </si>
  <si>
    <t xml:space="preserve">3) Paljudes riikides maksustatakse dividende, mistõttu aktsia tagasiostuga suureneb aktsia väärtus ning maksu on võimalik edasi lükata </t>
  </si>
  <si>
    <t>aktsiate tagasiostmine ja dividendide maksmine võrdlus</t>
  </si>
  <si>
    <t>20% aktsiadividendi mõju aktsia hinnale</t>
  </si>
  <si>
    <t>3:2 aktsia spliti mõju aktsia hinnale</t>
  </si>
  <si>
    <t>1:3 reverse split mõju aktsia hinnale</t>
  </si>
  <si>
    <t>aktsia reverse split</t>
  </si>
  <si>
    <t>aktsia kogus peale reverse split</t>
  </si>
  <si>
    <t>algne aktsiate kogus</t>
  </si>
  <si>
    <t>kasumiaruanne lõppenud majandusaasta kohta, milj</t>
  </si>
  <si>
    <t>optimaalne rahajääk, milj</t>
  </si>
  <si>
    <t>rahajääk hetkel, milj</t>
  </si>
  <si>
    <t>Intressikulude suurenemine, milj</t>
  </si>
  <si>
    <t>aasta lõpus makstav pangalaen, milj</t>
  </si>
  <si>
    <t>võlakirja emissioon, milj</t>
  </si>
  <si>
    <t>investeeringud põhivarasse, milj</t>
  </si>
  <si>
    <t>käibekapitali vajadus, milj</t>
  </si>
  <si>
    <t>käibekapitali vajadus müügituludest, %</t>
  </si>
  <si>
    <t>kasv käibekapitali vajaduses, milj</t>
  </si>
  <si>
    <t>andmed ettevõtte kohta</t>
  </si>
  <si>
    <t>Dividendide prognoosimine  vaba rahavoog omakapitalile alusel (FCFF), prognoositava dividendide väljamakse kordaja leidmine</t>
  </si>
  <si>
    <t>näide 1</t>
  </si>
  <si>
    <t>OSTUOPTSIOON</t>
  </si>
  <si>
    <t>MÜÜGIOPTSIOON</t>
  </si>
  <si>
    <t>Ostu- ja müügioptsioonide analüüs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</si>
</sst>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18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charset val="186"/>
      <scheme val="minor"/>
    </font>
    <font>
      <sz val="14"/>
      <color rgb="FF0095C5"/>
      <name val="Arial"/>
      <family val="2"/>
      <charset val="186"/>
    </font>
    <font>
      <b/>
      <sz val="18"/>
      <color theme="9"/>
      <name val="Aptos Narrow"/>
      <family val="2"/>
      <scheme val="minor"/>
    </font>
    <font>
      <sz val="12"/>
      <color theme="9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186"/>
      <scheme val="minor"/>
    </font>
    <font>
      <sz val="22"/>
      <color theme="1"/>
      <name val="Aptos Narrow"/>
      <family val="2"/>
      <charset val="186"/>
      <scheme val="minor"/>
    </font>
    <font>
      <b/>
      <u/>
      <sz val="11"/>
      <color theme="1"/>
      <name val="Calibri"/>
      <family val="2"/>
    </font>
    <font>
      <sz val="16"/>
      <color theme="1"/>
      <name val="Aptos Narrow"/>
      <family val="2"/>
      <charset val="186"/>
      <scheme val="minor"/>
    </font>
    <font>
      <b/>
      <sz val="11"/>
      <color theme="1"/>
      <name val="Calibri"/>
      <family val="2"/>
      <charset val="18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/>
  </cellStyleXfs>
  <cellXfs count="81">
    <xf numFmtId="0" fontId="0" fillId="0" borderId="0" xfId="0"/>
    <xf numFmtId="0" fontId="4" fillId="0" borderId="0" xfId="0" applyFont="1"/>
    <xf numFmtId="0" fontId="0" fillId="0" borderId="0" xfId="0" quotePrefix="1"/>
    <xf numFmtId="164" fontId="0" fillId="0" borderId="0" xfId="0" applyNumberFormat="1"/>
    <xf numFmtId="0" fontId="6" fillId="0" borderId="0" xfId="0" applyFont="1"/>
    <xf numFmtId="0" fontId="2" fillId="0" borderId="0" xfId="0" applyFont="1" applyAlignment="1">
      <alignment horizontal="justify" vertical="center"/>
    </xf>
    <xf numFmtId="0" fontId="0" fillId="0" borderId="0" xfId="0" applyAlignment="1">
      <alignment wrapText="1"/>
    </xf>
    <xf numFmtId="0" fontId="4" fillId="0" borderId="0" xfId="0" quotePrefix="1" applyFont="1"/>
    <xf numFmtId="0" fontId="7" fillId="0" borderId="0" xfId="2"/>
    <xf numFmtId="0" fontId="8" fillId="0" borderId="0" xfId="2" applyFont="1" applyAlignment="1">
      <alignment vertical="center"/>
    </xf>
    <xf numFmtId="0" fontId="10" fillId="0" borderId="0" xfId="2" applyFont="1"/>
    <xf numFmtId="0" fontId="0" fillId="0" borderId="1" xfId="0" applyBorder="1"/>
    <xf numFmtId="0" fontId="15" fillId="0" borderId="0" xfId="0" applyFont="1"/>
    <xf numFmtId="0" fontId="5" fillId="0" borderId="0" xfId="0" applyFont="1"/>
    <xf numFmtId="0" fontId="0" fillId="0" borderId="2" xfId="0" applyBorder="1"/>
    <xf numFmtId="0" fontId="6" fillId="0" borderId="2" xfId="0" applyFont="1" applyBorder="1"/>
    <xf numFmtId="164" fontId="0" fillId="2" borderId="2" xfId="0" applyNumberFormat="1" applyFill="1" applyBorder="1"/>
    <xf numFmtId="0" fontId="0" fillId="0" borderId="2" xfId="0" quotePrefix="1" applyBorder="1"/>
    <xf numFmtId="2" fontId="0" fillId="2" borderId="2" xfId="0" applyNumberFormat="1" applyFill="1" applyBorder="1"/>
    <xf numFmtId="2" fontId="0" fillId="0" borderId="2" xfId="0" applyNumberFormat="1" applyBorder="1"/>
    <xf numFmtId="0" fontId="0" fillId="2" borderId="2" xfId="0" applyFill="1" applyBorder="1"/>
    <xf numFmtId="0" fontId="0" fillId="0" borderId="6" xfId="0" applyBorder="1"/>
    <xf numFmtId="0" fontId="0" fillId="0" borderId="8" xfId="0" applyBorder="1"/>
    <xf numFmtId="0" fontId="0" fillId="0" borderId="11" xfId="0" applyBorder="1"/>
    <xf numFmtId="0" fontId="2" fillId="0" borderId="2" xfId="0" applyFont="1" applyBorder="1" applyAlignment="1">
      <alignment horizontal="justify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right"/>
    </xf>
    <xf numFmtId="0" fontId="3" fillId="0" borderId="2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0" fillId="3" borderId="2" xfId="0" applyFill="1" applyBorder="1"/>
    <xf numFmtId="0" fontId="0" fillId="0" borderId="0" xfId="0" applyAlignment="1">
      <alignment horizontal="right"/>
    </xf>
    <xf numFmtId="9" fontId="0" fillId="0" borderId="2" xfId="0" applyNumberFormat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2" xfId="0" applyBorder="1" applyAlignment="1">
      <alignment wrapText="1"/>
    </xf>
    <xf numFmtId="0" fontId="17" fillId="0" borderId="2" xfId="0" applyFont="1" applyBorder="1" applyAlignment="1">
      <alignment horizontal="justify" vertical="center"/>
    </xf>
    <xf numFmtId="165" fontId="0" fillId="2" borderId="13" xfId="1" applyNumberFormat="1" applyFont="1" applyFill="1" applyBorder="1"/>
    <xf numFmtId="0" fontId="17" fillId="0" borderId="14" xfId="0" applyFont="1" applyBorder="1" applyAlignment="1">
      <alignment horizontal="justify" vertical="center"/>
    </xf>
    <xf numFmtId="0" fontId="13" fillId="0" borderId="12" xfId="0" applyFont="1" applyBorder="1" applyAlignment="1">
      <alignment wrapText="1"/>
    </xf>
    <xf numFmtId="10" fontId="0" fillId="0" borderId="2" xfId="1" applyNumberFormat="1" applyFont="1" applyBorder="1"/>
    <xf numFmtId="0" fontId="0" fillId="3" borderId="2" xfId="0" applyFill="1" applyBorder="1" applyAlignment="1">
      <alignment wrapText="1"/>
    </xf>
    <xf numFmtId="9" fontId="0" fillId="0" borderId="2" xfId="1" applyFont="1" applyBorder="1"/>
    <xf numFmtId="0" fontId="6" fillId="3" borderId="2" xfId="0" applyFont="1" applyFill="1" applyBorder="1" applyAlignment="1">
      <alignment wrapText="1"/>
    </xf>
    <xf numFmtId="9" fontId="0" fillId="0" borderId="0" xfId="1" applyFont="1" applyBorder="1"/>
    <xf numFmtId="0" fontId="11" fillId="0" borderId="0" xfId="2" quotePrefix="1" applyFont="1"/>
    <xf numFmtId="0" fontId="9" fillId="0" borderId="0" xfId="2" applyFont="1"/>
    <xf numFmtId="0" fontId="5" fillId="3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4" xfId="0" applyFont="1" applyBorder="1" applyAlignment="1">
      <alignment horizontal="center" wrapText="1"/>
    </xf>
    <xf numFmtId="0" fontId="14" fillId="0" borderId="5" xfId="0" applyFont="1" applyBorder="1" applyAlignment="1">
      <alignment horizontal="center" wrapText="1"/>
    </xf>
    <xf numFmtId="0" fontId="14" fillId="0" borderId="6" xfId="0" applyFont="1" applyBorder="1" applyAlignment="1">
      <alignment horizontal="center" wrapText="1"/>
    </xf>
    <xf numFmtId="0" fontId="14" fillId="0" borderId="7" xfId="0" applyFont="1" applyBorder="1" applyAlignment="1">
      <alignment horizontal="center" wrapText="1"/>
    </xf>
    <xf numFmtId="0" fontId="14" fillId="0" borderId="0" xfId="0" applyFont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14" fillId="0" borderId="9" xfId="0" applyFont="1" applyBorder="1" applyAlignment="1">
      <alignment horizontal="center" wrapText="1"/>
    </xf>
    <xf numFmtId="0" fontId="14" fillId="0" borderId="10" xfId="0" applyFont="1" applyBorder="1" applyAlignment="1">
      <alignment horizontal="center" wrapText="1"/>
    </xf>
    <xf numFmtId="0" fontId="14" fillId="0" borderId="11" xfId="0" applyFont="1" applyBorder="1" applyAlignment="1">
      <alignment horizontal="center" wrapText="1"/>
    </xf>
    <xf numFmtId="0" fontId="16" fillId="0" borderId="4" xfId="0" applyFont="1" applyBorder="1" applyAlignment="1">
      <alignment horizontal="center" wrapText="1"/>
    </xf>
    <xf numFmtId="0" fontId="16" fillId="0" borderId="5" xfId="0" applyFont="1" applyBorder="1" applyAlignment="1">
      <alignment horizontal="center" wrapText="1"/>
    </xf>
    <xf numFmtId="0" fontId="16" fillId="0" borderId="6" xfId="0" applyFont="1" applyBorder="1" applyAlignment="1">
      <alignment horizontal="center" wrapText="1"/>
    </xf>
    <xf numFmtId="0" fontId="16" fillId="0" borderId="7" xfId="0" applyFont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0" fontId="16" fillId="0" borderId="8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0" fontId="16" fillId="0" borderId="10" xfId="0" applyFont="1" applyBorder="1" applyAlignment="1">
      <alignment horizontal="center" wrapText="1"/>
    </xf>
    <xf numFmtId="0" fontId="16" fillId="0" borderId="11" xfId="0" applyFont="1" applyBorder="1" applyAlignment="1">
      <alignment horizontal="center" wrapText="1"/>
    </xf>
  </cellXfs>
  <cellStyles count="3">
    <cellStyle name="Normal" xfId="0" builtinId="0"/>
    <cellStyle name="Normal 2" xfId="2" xr:uid="{8A85134C-3BD1-4B62-B5B5-3D9376F9ACF6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ostu</a:t>
            </a:r>
            <a:r>
              <a:rPr lang="et-EE"/>
              <a:t>optsioon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Sheet1!$A$107:$A$110</c:f>
              <c:numCache>
                <c:formatCode>General</c:formatCode>
                <c:ptCount val="4"/>
                <c:pt idx="0">
                  <c:v>53</c:v>
                </c:pt>
                <c:pt idx="1">
                  <c:v>47</c:v>
                </c:pt>
                <c:pt idx="2">
                  <c:v>37</c:v>
                </c:pt>
                <c:pt idx="3">
                  <c:v>30</c:v>
                </c:pt>
              </c:numCache>
            </c:numRef>
          </c:xVal>
          <c:yVal>
            <c:numRef>
              <c:f>Sheet1!$C$107:$C$110</c:f>
              <c:numCache>
                <c:formatCode>General</c:formatCode>
                <c:ptCount val="4"/>
                <c:pt idx="0">
                  <c:v>5</c:v>
                </c:pt>
                <c:pt idx="1">
                  <c:v>-1</c:v>
                </c:pt>
                <c:pt idx="2">
                  <c:v>-8</c:v>
                </c:pt>
                <c:pt idx="3">
                  <c:v>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9A-47DF-8E2F-74C4919E6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428640"/>
        <c:axId val="733429120"/>
      </c:scatterChart>
      <c:valAx>
        <c:axId val="733428640"/>
        <c:scaling>
          <c:orientation val="minMax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t-EE"/>
                  <a:t>lihtaktsia</a:t>
                </a:r>
                <a:r>
                  <a:rPr lang="et-EE" baseline="0"/>
                  <a:t> väärtus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429120"/>
        <c:crosses val="autoZero"/>
        <c:crossBetween val="midCat"/>
      </c:valAx>
      <c:valAx>
        <c:axId val="733429120"/>
        <c:scaling>
          <c:orientation val="minMax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t-EE"/>
                  <a:t>kasum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428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müügioptsioon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Sheet1!$A$125:$A$128</c:f>
              <c:numCache>
                <c:formatCode>General</c:formatCode>
                <c:ptCount val="4"/>
                <c:pt idx="0">
                  <c:v>48</c:v>
                </c:pt>
                <c:pt idx="1">
                  <c:v>43</c:v>
                </c:pt>
                <c:pt idx="2">
                  <c:v>38</c:v>
                </c:pt>
                <c:pt idx="3">
                  <c:v>34</c:v>
                </c:pt>
              </c:numCache>
            </c:numRef>
          </c:xVal>
          <c:yVal>
            <c:numRef>
              <c:f>Sheet1!$C$125:$C$128</c:f>
              <c:numCache>
                <c:formatCode>General</c:formatCode>
                <c:ptCount val="4"/>
                <c:pt idx="0">
                  <c:v>-3</c:v>
                </c:pt>
                <c:pt idx="1">
                  <c:v>-3</c:v>
                </c:pt>
                <c:pt idx="2">
                  <c:v>-1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04-4021-84B2-4D9382210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5511120"/>
        <c:axId val="835529840"/>
      </c:scatterChart>
      <c:valAx>
        <c:axId val="835511120"/>
        <c:scaling>
          <c:orientation val="minMax"/>
          <c:max val="50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lihtaktsia hind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529840"/>
        <c:crosses val="autoZero"/>
        <c:crossBetween val="midCat"/>
      </c:valAx>
      <c:valAx>
        <c:axId val="83552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t-EE"/>
                  <a:t>kasum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511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72043</xdr:colOff>
      <xdr:row>77</xdr:row>
      <xdr:rowOff>2078</xdr:rowOff>
    </xdr:from>
    <xdr:to>
      <xdr:col>15</xdr:col>
      <xdr:colOff>322118</xdr:colOff>
      <xdr:row>80</xdr:row>
      <xdr:rowOff>17317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328F65-24C3-8F47-13B5-70F3BDE3F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4098" y="15484533"/>
          <a:ext cx="7565275" cy="569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84106</xdr:colOff>
      <xdr:row>95</xdr:row>
      <xdr:rowOff>60685</xdr:rowOff>
    </xdr:from>
    <xdr:to>
      <xdr:col>13</xdr:col>
      <xdr:colOff>388906</xdr:colOff>
      <xdr:row>106</xdr:row>
      <xdr:rowOff>60685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B5EBF8F-9086-5691-A0CC-7847FDCDBB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608907</xdr:colOff>
      <xdr:row>107</xdr:row>
      <xdr:rowOff>172143</xdr:rowOff>
    </xdr:from>
    <xdr:to>
      <xdr:col>13</xdr:col>
      <xdr:colOff>304107</xdr:colOff>
      <xdr:row>123</xdr:row>
      <xdr:rowOff>290600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9372247-26CD-5443-241E-20221A40E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kus Lüllman" id="{DAB2A32E-C921-40D6-8993-BBE3243F87D5}" userId="598c36b14c3f46f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2" dT="2026-07-15T11:55:07.03" personId="{DAB2A32E-C921-40D6-8993-BBE3243F87D5}" id="{5F67E51C-574C-4736-A7F0-A516425FE0C9}">
    <text>antud juhul tuleb müügitulu koguse kasvust</text>
  </threadedComment>
  <threadedComment ref="A85" dT="2026-07-15T12:48:15.37" personId="{DAB2A32E-C921-40D6-8993-BBE3243F87D5}" id="{A3F70BCC-A37F-42E7-8CC7-1D63F647336D}">
    <text xml:space="preserve">näitab, kui suure osa ettevõtte prognoositavast kasumist plaanitakse dividendidena aktsionäridele välja maksta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C29B9-BCD3-4497-84E2-910BE04BAFEA}">
  <dimension ref="A1:Q132"/>
  <sheetViews>
    <sheetView tabSelected="1" zoomScale="46" zoomScaleNormal="100" workbookViewId="0">
      <selection activeCell="L92" sqref="L92"/>
    </sheetView>
  </sheetViews>
  <sheetFormatPr defaultRowHeight="14.4" x14ac:dyDescent="0.3"/>
  <cols>
    <col min="1" max="1" width="37" customWidth="1"/>
    <col min="2" max="2" width="15" customWidth="1"/>
    <col min="3" max="3" width="16" customWidth="1"/>
    <col min="4" max="4" width="8.88671875" customWidth="1"/>
  </cols>
  <sheetData>
    <row r="1" spans="1:8" x14ac:dyDescent="0.3">
      <c r="A1" t="s">
        <v>0</v>
      </c>
      <c r="E1" s="54" t="s">
        <v>49</v>
      </c>
      <c r="F1" s="55"/>
      <c r="G1" s="55"/>
      <c r="H1" s="56"/>
    </row>
    <row r="2" spans="1:8" x14ac:dyDescent="0.3">
      <c r="E2" s="57"/>
      <c r="F2" s="58"/>
      <c r="G2" s="58"/>
      <c r="H2" s="59"/>
    </row>
    <row r="3" spans="1:8" x14ac:dyDescent="0.3">
      <c r="E3" s="57"/>
      <c r="F3" s="58"/>
      <c r="G3" s="58"/>
      <c r="H3" s="59"/>
    </row>
    <row r="4" spans="1:8" x14ac:dyDescent="0.3">
      <c r="E4" s="57"/>
      <c r="F4" s="58"/>
      <c r="G4" s="58"/>
      <c r="H4" s="59"/>
    </row>
    <row r="5" spans="1:8" ht="15" thickBot="1" x14ac:dyDescent="0.35">
      <c r="E5" s="60"/>
      <c r="F5" s="61"/>
      <c r="G5" s="61"/>
      <c r="H5" s="62"/>
    </row>
    <row r="6" spans="1:8" x14ac:dyDescent="0.3">
      <c r="A6" s="13" t="s">
        <v>1</v>
      </c>
    </row>
    <row r="7" spans="1:8" x14ac:dyDescent="0.3">
      <c r="A7" t="s">
        <v>8</v>
      </c>
    </row>
    <row r="8" spans="1:8" x14ac:dyDescent="0.3">
      <c r="A8" s="4" t="s">
        <v>9</v>
      </c>
    </row>
    <row r="9" spans="1:8" x14ac:dyDescent="0.3">
      <c r="A9" t="s">
        <v>10</v>
      </c>
    </row>
    <row r="10" spans="1:8" x14ac:dyDescent="0.3">
      <c r="A10" t="s">
        <v>51</v>
      </c>
    </row>
    <row r="11" spans="1:8" s="11" customFormat="1" ht="15" thickBot="1" x14ac:dyDescent="0.35">
      <c r="E11"/>
      <c r="F11"/>
      <c r="G11"/>
      <c r="H11"/>
    </row>
    <row r="12" spans="1:8" ht="68.400000000000006" customHeight="1" x14ac:dyDescent="0.3">
      <c r="A12" t="s">
        <v>2</v>
      </c>
      <c r="E12" s="63" t="s">
        <v>57</v>
      </c>
      <c r="F12" s="64"/>
      <c r="G12" s="64"/>
      <c r="H12" s="65"/>
    </row>
    <row r="13" spans="1:8" x14ac:dyDescent="0.3">
      <c r="E13" s="66"/>
      <c r="F13" s="67"/>
      <c r="G13" s="67"/>
      <c r="H13" s="68"/>
    </row>
    <row r="14" spans="1:8" x14ac:dyDescent="0.3">
      <c r="E14" s="66"/>
      <c r="F14" s="67"/>
      <c r="G14" s="67"/>
      <c r="H14" s="68"/>
    </row>
    <row r="15" spans="1:8" x14ac:dyDescent="0.3">
      <c r="E15" s="66"/>
      <c r="F15" s="67"/>
      <c r="G15" s="67"/>
      <c r="H15" s="68"/>
    </row>
    <row r="16" spans="1:8" ht="15" thickBot="1" x14ac:dyDescent="0.35">
      <c r="E16" s="69"/>
      <c r="F16" s="70"/>
      <c r="G16" s="70"/>
      <c r="H16" s="71"/>
    </row>
    <row r="18" spans="1:8" x14ac:dyDescent="0.3">
      <c r="A18" s="12" t="s">
        <v>52</v>
      </c>
    </row>
    <row r="19" spans="1:8" x14ac:dyDescent="0.3">
      <c r="A19" t="s">
        <v>53</v>
      </c>
    </row>
    <row r="20" spans="1:8" x14ac:dyDescent="0.3">
      <c r="A20" t="s">
        <v>54</v>
      </c>
    </row>
    <row r="21" spans="1:8" x14ac:dyDescent="0.3">
      <c r="A21" t="s">
        <v>55</v>
      </c>
    </row>
    <row r="22" spans="1:8" x14ac:dyDescent="0.3">
      <c r="A22" t="s">
        <v>56</v>
      </c>
    </row>
    <row r="23" spans="1:8" s="11" customFormat="1" ht="15" thickBot="1" x14ac:dyDescent="0.35">
      <c r="E23"/>
      <c r="F23"/>
      <c r="G23"/>
      <c r="H23"/>
    </row>
    <row r="24" spans="1:8" x14ac:dyDescent="0.3">
      <c r="A24" t="s">
        <v>3</v>
      </c>
      <c r="E24" s="63" t="s">
        <v>50</v>
      </c>
      <c r="F24" s="64"/>
      <c r="G24" s="64"/>
      <c r="H24" s="65"/>
    </row>
    <row r="25" spans="1:8" x14ac:dyDescent="0.3">
      <c r="E25" s="66"/>
      <c r="F25" s="67"/>
      <c r="G25" s="67"/>
      <c r="H25" s="68"/>
    </row>
    <row r="26" spans="1:8" x14ac:dyDescent="0.3">
      <c r="E26" s="66"/>
      <c r="F26" s="67"/>
      <c r="G26" s="67"/>
      <c r="H26" s="68"/>
    </row>
    <row r="27" spans="1:8" x14ac:dyDescent="0.3">
      <c r="E27" s="66"/>
      <c r="F27" s="67"/>
      <c r="G27" s="67"/>
      <c r="H27" s="68"/>
    </row>
    <row r="28" spans="1:8" x14ac:dyDescent="0.3">
      <c r="E28" s="66"/>
      <c r="F28" s="67"/>
      <c r="G28" s="67"/>
      <c r="H28" s="68"/>
    </row>
    <row r="29" spans="1:8" ht="15" thickBot="1" x14ac:dyDescent="0.35">
      <c r="E29" s="69"/>
      <c r="F29" s="70"/>
      <c r="G29" s="70"/>
      <c r="H29" s="71"/>
    </row>
    <row r="30" spans="1:8" x14ac:dyDescent="0.3">
      <c r="A30" s="51" t="s">
        <v>58</v>
      </c>
      <c r="B30" s="51"/>
    </row>
    <row r="31" spans="1:8" x14ac:dyDescent="0.3">
      <c r="A31" s="14" t="s">
        <v>4</v>
      </c>
      <c r="B31" s="14">
        <v>20</v>
      </c>
    </row>
    <row r="32" spans="1:8" x14ac:dyDescent="0.3">
      <c r="A32" s="14" t="s">
        <v>63</v>
      </c>
      <c r="B32" s="14">
        <v>100</v>
      </c>
    </row>
    <row r="33" spans="1:3" x14ac:dyDescent="0.3">
      <c r="A33" s="15" t="s">
        <v>11</v>
      </c>
      <c r="B33" s="14">
        <v>0.2</v>
      </c>
    </row>
    <row r="34" spans="1:3" x14ac:dyDescent="0.3">
      <c r="A34" s="14" t="s">
        <v>7</v>
      </c>
      <c r="B34" s="14">
        <f>algne_aktsiate_kogus*(1+aktsiadividend)</f>
        <v>120</v>
      </c>
      <c r="C34" t="str">
        <f ca="1">_xlfn.FORMULATEXT(uus_aktsia_kogus)</f>
        <v>=algne_aktsiate_kogus*(1+aktsiadividend)</v>
      </c>
    </row>
    <row r="35" spans="1:3" x14ac:dyDescent="0.3">
      <c r="A35" s="14" t="s">
        <v>5</v>
      </c>
      <c r="B35" s="16">
        <f>(aktsia_hind*algne_aktsiate_kogus)/uus_aktsia_kogus</f>
        <v>16.666666666666668</v>
      </c>
      <c r="C35" t="str">
        <f ca="1">_xlfn.FORMULATEXT(uus_aktsia_hind)</f>
        <v>=(aktsia_hind*algne_aktsiate_kogus)/uus_aktsia_kogus</v>
      </c>
    </row>
    <row r="37" spans="1:3" x14ac:dyDescent="0.3">
      <c r="B37" s="2"/>
    </row>
    <row r="38" spans="1:3" x14ac:dyDescent="0.3">
      <c r="A38" s="51" t="s">
        <v>59</v>
      </c>
      <c r="B38" s="51"/>
    </row>
    <row r="39" spans="1:3" x14ac:dyDescent="0.3">
      <c r="A39" s="14" t="s">
        <v>6</v>
      </c>
      <c r="B39" s="17">
        <f>3/2</f>
        <v>1.5</v>
      </c>
      <c r="C39" t="str">
        <f ca="1">_xlfn.FORMULATEXT(aktsia_split)</f>
        <v>=3/2</v>
      </c>
    </row>
    <row r="40" spans="1:3" x14ac:dyDescent="0.3">
      <c r="A40" s="14" t="s">
        <v>48</v>
      </c>
      <c r="B40" s="14">
        <f>algne_aktsiate_kogus*aktsia_split</f>
        <v>150</v>
      </c>
      <c r="C40" t="str">
        <f ca="1">_xlfn.FORMULATEXT(uus_aktsiate_kogus)</f>
        <v>=algne_aktsiate_kogus*aktsia_split</v>
      </c>
    </row>
    <row r="41" spans="1:3" x14ac:dyDescent="0.3">
      <c r="A41" s="14" t="s">
        <v>5</v>
      </c>
      <c r="B41" s="18">
        <f>(aktsia_hind*algne_aktsiate_kogus)/uus_aktsiate_kogus</f>
        <v>13.333333333333334</v>
      </c>
      <c r="C41" t="str">
        <f ca="1">_xlfn.FORMULATEXT(B41)</f>
        <v>=(aktsia_hind*algne_aktsiate_kogus)/uus_aktsiate_kogus</v>
      </c>
    </row>
    <row r="43" spans="1:3" x14ac:dyDescent="0.3">
      <c r="A43" s="51" t="s">
        <v>60</v>
      </c>
      <c r="B43" s="51"/>
    </row>
    <row r="44" spans="1:3" x14ac:dyDescent="0.3">
      <c r="A44" s="14" t="s">
        <v>61</v>
      </c>
      <c r="B44" s="19">
        <f>1/3</f>
        <v>0.33333333333333331</v>
      </c>
      <c r="C44" t="str">
        <f ca="1">_xlfn.FORMULATEXT(aktsia_reverse_split)</f>
        <v>=1/3</v>
      </c>
    </row>
    <row r="45" spans="1:3" x14ac:dyDescent="0.3">
      <c r="A45" s="14" t="s">
        <v>62</v>
      </c>
      <c r="B45" s="19">
        <f>algne_aktsiate_kogus*aktsia_reverse_split</f>
        <v>33.333333333333329</v>
      </c>
      <c r="C45" t="str">
        <f ca="1">_xlfn.FORMULATEXT(aktsia_kogus_peale_reverse_split)</f>
        <v>=algne_aktsiate_kogus*aktsia_reverse_split</v>
      </c>
    </row>
    <row r="46" spans="1:3" x14ac:dyDescent="0.3">
      <c r="A46" s="14" t="s">
        <v>5</v>
      </c>
      <c r="B46" s="20">
        <f>(aktsia_hind*algne_aktsiate_kogus)/aktsia_kogus_peale_reverse_split</f>
        <v>60.000000000000007</v>
      </c>
      <c r="C46" t="str">
        <f ca="1">_xlfn.FORMULATEXT(B46)</f>
        <v>=(aktsia_hind*algne_aktsiate_kogus)/aktsia_kogus_peale_reverse_split</v>
      </c>
    </row>
    <row r="48" spans="1:3" x14ac:dyDescent="0.3">
      <c r="A48" s="1" t="s">
        <v>12</v>
      </c>
      <c r="B48" s="3"/>
    </row>
    <row r="49" spans="1:11" x14ac:dyDescent="0.3">
      <c r="A49" s="1" t="s">
        <v>13</v>
      </c>
    </row>
    <row r="50" spans="1:11" x14ac:dyDescent="0.3">
      <c r="A50" s="1" t="s">
        <v>16</v>
      </c>
    </row>
    <row r="51" spans="1:11" x14ac:dyDescent="0.3">
      <c r="A51" s="1" t="s">
        <v>14</v>
      </c>
    </row>
    <row r="52" spans="1:11" s="11" customFormat="1" ht="15" thickBot="1" x14ac:dyDescent="0.35">
      <c r="E52"/>
      <c r="F52"/>
      <c r="G52"/>
      <c r="H52"/>
      <c r="I52"/>
      <c r="J52"/>
      <c r="K52"/>
    </row>
    <row r="53" spans="1:11" ht="14.4" customHeight="1" x14ac:dyDescent="0.3">
      <c r="A53" t="s">
        <v>15</v>
      </c>
      <c r="E53" s="72" t="s">
        <v>75</v>
      </c>
      <c r="F53" s="73"/>
      <c r="G53" s="73"/>
      <c r="H53" s="73"/>
      <c r="I53" s="73"/>
      <c r="J53" s="73"/>
      <c r="K53" s="74"/>
    </row>
    <row r="54" spans="1:11" ht="14.4" customHeight="1" x14ac:dyDescent="0.3">
      <c r="E54" s="75"/>
      <c r="F54" s="76"/>
      <c r="G54" s="76"/>
      <c r="H54" s="76"/>
      <c r="I54" s="76"/>
      <c r="J54" s="76"/>
      <c r="K54" s="77"/>
    </row>
    <row r="55" spans="1:11" ht="14.4" customHeight="1" x14ac:dyDescent="0.3">
      <c r="E55" s="75"/>
      <c r="F55" s="76"/>
      <c r="G55" s="76"/>
      <c r="H55" s="76"/>
      <c r="I55" s="76"/>
      <c r="J55" s="76"/>
      <c r="K55" s="77"/>
    </row>
    <row r="56" spans="1:11" ht="14.4" customHeight="1" x14ac:dyDescent="0.3">
      <c r="E56" s="75"/>
      <c r="F56" s="76"/>
      <c r="G56" s="76"/>
      <c r="H56" s="76"/>
      <c r="I56" s="76"/>
      <c r="J56" s="76"/>
      <c r="K56" s="77"/>
    </row>
    <row r="57" spans="1:11" ht="15" customHeight="1" thickBot="1" x14ac:dyDescent="0.35">
      <c r="E57" s="78"/>
      <c r="F57" s="79"/>
      <c r="G57" s="79"/>
      <c r="H57" s="79"/>
      <c r="I57" s="79"/>
      <c r="J57" s="79"/>
      <c r="K57" s="80"/>
    </row>
    <row r="60" spans="1:11" x14ac:dyDescent="0.3">
      <c r="A60" s="51" t="s">
        <v>64</v>
      </c>
      <c r="B60" s="51"/>
      <c r="C60" s="29" t="s">
        <v>27</v>
      </c>
    </row>
    <row r="61" spans="1:11" x14ac:dyDescent="0.3">
      <c r="A61" s="24" t="s">
        <v>17</v>
      </c>
      <c r="B61" s="14">
        <v>600</v>
      </c>
      <c r="C61" s="26">
        <f>Müügitulud*(1+kasvumäär__müügitulu__kulum_ja_ärikasum)</f>
        <v>648</v>
      </c>
      <c r="D61" t="str">
        <f ca="1">_xlfn.FORMULATEXT(C61)</f>
        <v>=Müügitulud*(1+kasvumäär__müügitulu__kulum_ja_ärikasum)</v>
      </c>
    </row>
    <row r="62" spans="1:11" ht="17.399999999999999" customHeight="1" x14ac:dyDescent="0.3">
      <c r="A62" s="25" t="s">
        <v>18</v>
      </c>
      <c r="B62" s="14">
        <v>350</v>
      </c>
      <c r="C62" s="27">
        <f>Müügikulu__COGS*(1+kasvumäär__müügitulu__kulum_ja_ärikasum)</f>
        <v>378</v>
      </c>
      <c r="D62" s="2" t="str">
        <f ca="1">_xlfn.FORMULATEXT(C62)</f>
        <v>=Müügikulu__COGS*(1+kasvumäär__müügitulu__kulum_ja_ärikasum)</v>
      </c>
    </row>
    <row r="63" spans="1:11" ht="17.399999999999999" customHeight="1" x14ac:dyDescent="0.3">
      <c r="A63" s="25" t="s">
        <v>26</v>
      </c>
      <c r="B63" s="14">
        <v>50</v>
      </c>
      <c r="C63" s="28">
        <f>ammortisatsioon*(1+kasvumäär__müügitulu__kulum_ja_ärikasum)</f>
        <v>54</v>
      </c>
      <c r="D63" t="str">
        <f ca="1">_xlfn.FORMULATEXT(C63)</f>
        <v>=ammortisatsioon*(1+kasvumäär__müügitulu__kulum_ja_ärikasum)</v>
      </c>
    </row>
    <row r="64" spans="1:11" x14ac:dyDescent="0.3">
      <c r="A64" s="24" t="s">
        <v>19</v>
      </c>
      <c r="B64" s="14">
        <f>Müügitulud-Müügikulu__COGS-ammortisatsioon</f>
        <v>200</v>
      </c>
      <c r="C64" s="26">
        <f>muugitulud_järgmine_aasta-muugikulu_jarg_aasta-ammort_jarg_aasta</f>
        <v>216</v>
      </c>
      <c r="D64" t="str">
        <f ca="1">_xlfn.FORMULATEXT(EBIT_jarg_aasta)</f>
        <v>=muugitulud_järgmine_aasta-muugikulu_jarg_aasta-ammort_jarg_aasta</v>
      </c>
    </row>
    <row r="65" spans="1:14" x14ac:dyDescent="0.3">
      <c r="A65" s="24" t="s">
        <v>20</v>
      </c>
      <c r="B65" s="14">
        <v>10</v>
      </c>
      <c r="C65" s="26">
        <f>Intressikulud+Intressikulude_suurenemine</f>
        <v>12</v>
      </c>
      <c r="D65" t="str">
        <f ca="1">_xlfn.FORMULATEXT(C65)</f>
        <v>=Intressikulud+Intressikulude_suurenemine</v>
      </c>
    </row>
    <row r="66" spans="1:14" x14ac:dyDescent="0.3">
      <c r="A66" s="24" t="s">
        <v>21</v>
      </c>
      <c r="B66" s="14">
        <f>Ärikasum__EBIT-Intressikulud</f>
        <v>190</v>
      </c>
      <c r="C66" s="26">
        <f>EBIT_jarg_aasta-intressikulud_jarg_aasta</f>
        <v>204</v>
      </c>
      <c r="D66" t="str">
        <f ca="1">_xlfn.FORMULATEXT(Maksude_eelne_kasum_jarg_aasta)</f>
        <v>=EBIT_jarg_aasta-intressikulud_jarg_aasta</v>
      </c>
    </row>
    <row r="67" spans="1:14" ht="15.6" customHeight="1" x14ac:dyDescent="0.3">
      <c r="A67" s="24" t="s">
        <v>22</v>
      </c>
      <c r="B67" s="14">
        <v>57</v>
      </c>
      <c r="C67" s="26">
        <f>TM_kasumilt*Maksude_eelne_kasum_jarg_aasta</f>
        <v>61.199999999999996</v>
      </c>
      <c r="D67" t="str">
        <f ca="1">_xlfn.FORMULATEXT(Tulumaks_kasumilt_jarg_aasta)</f>
        <v>=TM_kasumilt*Maksude_eelne_kasum_jarg_aasta</v>
      </c>
    </row>
    <row r="68" spans="1:14" x14ac:dyDescent="0.3">
      <c r="A68" s="24" t="s">
        <v>23</v>
      </c>
      <c r="B68" s="14">
        <f>Maksude_eelne_kasum-Tulumaks_kasumilt</f>
        <v>133</v>
      </c>
      <c r="C68" s="26">
        <f>Maksude_eelne_kasum_jarg_aasta-Tulumaks_kasumilt_jarg_aasta</f>
        <v>142.80000000000001</v>
      </c>
      <c r="D68" t="str">
        <f ca="1">_xlfn.FORMULATEXT(C68)</f>
        <v>=Maksude_eelne_kasum_jarg_aasta-Tulumaks_kasumilt_jarg_aasta</v>
      </c>
    </row>
    <row r="69" spans="1:14" x14ac:dyDescent="0.3">
      <c r="A69" s="5"/>
      <c r="C69" s="30"/>
    </row>
    <row r="70" spans="1:14" x14ac:dyDescent="0.3">
      <c r="A70" s="52" t="s">
        <v>74</v>
      </c>
      <c r="B70" s="53"/>
      <c r="C70" s="30"/>
    </row>
    <row r="71" spans="1:14" ht="28.8" x14ac:dyDescent="0.3">
      <c r="A71" s="24" t="s">
        <v>28</v>
      </c>
      <c r="B71" s="31">
        <v>0.08</v>
      </c>
    </row>
    <row r="72" spans="1:14" x14ac:dyDescent="0.3">
      <c r="A72" s="24" t="s">
        <v>24</v>
      </c>
      <c r="B72" s="31">
        <v>0.3</v>
      </c>
    </row>
    <row r="73" spans="1:14" x14ac:dyDescent="0.3">
      <c r="A73" s="24" t="s">
        <v>72</v>
      </c>
      <c r="B73" s="31">
        <v>0.25</v>
      </c>
    </row>
    <row r="74" spans="1:14" x14ac:dyDescent="0.3">
      <c r="A74" s="24" t="s">
        <v>71</v>
      </c>
      <c r="B74" s="14">
        <f>käibekapitali_vajadus_müügituludest*Müügitulud</f>
        <v>150</v>
      </c>
      <c r="C74" t="str">
        <f ca="1">_xlfn.FORMULATEXT(käibekapitali_vajadus)</f>
        <v>=käibekapitali_vajadus_müügituludest*Müügitulud</v>
      </c>
      <c r="D74" s="2"/>
    </row>
    <row r="75" spans="1:14" x14ac:dyDescent="0.3">
      <c r="A75" s="24" t="s">
        <v>73</v>
      </c>
      <c r="B75" s="14">
        <f>käibekapitali_vajadus*kasvumäär__müügitulu__kulum_ja_ärikasum</f>
        <v>12</v>
      </c>
      <c r="C75" t="str">
        <f ca="1">_xlfn.FORMULATEXT(kasv_käibekapitali_vajaduses)</f>
        <v>=käibekapitali_vajadus*kasvumäär__müügitulu__kulum_ja_ärikasum</v>
      </c>
      <c r="D75" s="2"/>
    </row>
    <row r="76" spans="1:14" x14ac:dyDescent="0.3">
      <c r="A76" s="24" t="s">
        <v>70</v>
      </c>
      <c r="B76" s="14">
        <v>60</v>
      </c>
    </row>
    <row r="77" spans="1:14" ht="15" thickBot="1" x14ac:dyDescent="0.35">
      <c r="A77" s="24" t="s">
        <v>69</v>
      </c>
      <c r="B77" s="14">
        <v>20</v>
      </c>
    </row>
    <row r="78" spans="1:14" x14ac:dyDescent="0.3">
      <c r="A78" s="24" t="s">
        <v>68</v>
      </c>
      <c r="B78" s="14">
        <v>50</v>
      </c>
      <c r="D78" s="32"/>
      <c r="E78" s="33"/>
      <c r="F78" s="33"/>
      <c r="G78" s="33"/>
      <c r="H78" s="33"/>
      <c r="I78" s="33"/>
      <c r="J78" s="33"/>
      <c r="K78" s="33"/>
      <c r="L78" s="33"/>
      <c r="M78" s="33"/>
      <c r="N78" s="21"/>
    </row>
    <row r="79" spans="1:14" x14ac:dyDescent="0.3">
      <c r="A79" s="24" t="s">
        <v>67</v>
      </c>
      <c r="B79" s="14">
        <v>2</v>
      </c>
      <c r="D79" s="34"/>
      <c r="N79" s="22"/>
    </row>
    <row r="80" spans="1:14" ht="15" thickBot="1" x14ac:dyDescent="0.35">
      <c r="A80" s="24" t="s">
        <v>66</v>
      </c>
      <c r="B80" s="14">
        <v>80</v>
      </c>
      <c r="D80" s="35"/>
      <c r="E80" s="36"/>
      <c r="F80" s="36"/>
      <c r="G80" s="36"/>
      <c r="H80" s="36"/>
      <c r="I80" s="36"/>
      <c r="J80" s="36"/>
      <c r="K80" s="36"/>
      <c r="L80" s="36"/>
      <c r="M80" s="36"/>
      <c r="N80" s="23"/>
    </row>
    <row r="81" spans="1:8" x14ac:dyDescent="0.3">
      <c r="A81" s="24" t="s">
        <v>65</v>
      </c>
      <c r="B81" s="14">
        <v>60</v>
      </c>
    </row>
    <row r="82" spans="1:8" x14ac:dyDescent="0.3">
      <c r="A82" s="5"/>
    </row>
    <row r="83" spans="1:8" x14ac:dyDescent="0.3">
      <c r="A83" s="38" t="s">
        <v>25</v>
      </c>
      <c r="B83" s="20">
        <f>puhaskasum_jarg_aasta+ammort_jarg_aasta-kasv_käibekapitali_vajaduses-investeeringud_põhivarasse+võlakirja_emissioon-aasta_lõpus_makstav_pangalaen</f>
        <v>94.800000000000011</v>
      </c>
      <c r="C83" t="str">
        <f ca="1">_xlfn.FORMULATEXT(FCFE)</f>
        <v>=puhaskasum_jarg_aasta+ammort_jarg_aasta-kasv_käibekapitali_vajaduses-investeeringud_põhivarasse+võlakirja_emissioon-aasta_lõpus_makstav_pangalaen</v>
      </c>
    </row>
    <row r="84" spans="1:8" ht="29.4" thickBot="1" x14ac:dyDescent="0.35">
      <c r="A84" s="40" t="s">
        <v>29</v>
      </c>
      <c r="B84" s="20">
        <f>FCFE+(rahajääk-optimaalne_rahajääk)</f>
        <v>114.80000000000001</v>
      </c>
      <c r="C84" t="str">
        <f ca="1">_xlfn.FORMULATEXT(dividendi_suurus_arvestades_optimaalseks_peevatat_raha_jääki)</f>
        <v>=FCFE+(rahajääk-optimaalne_rahajääk)</v>
      </c>
    </row>
    <row r="85" spans="1:8" ht="29.4" thickBot="1" x14ac:dyDescent="0.35">
      <c r="A85" s="41" t="s">
        <v>30</v>
      </c>
      <c r="B85" s="39">
        <f>dividendi_suurus_arvestades_optimaalseks_peevatat_raha_jääki/puhaskasum_jarg_aasta</f>
        <v>0.80392156862745101</v>
      </c>
      <c r="C85" s="2" t="str">
        <f ca="1">_xlfn.FORMULATEXT(B85)</f>
        <v>=dividendi_suurus_arvestades_optimaalseks_peevatat_raha_jääki/puhaskasum_jarg_aasta</v>
      </c>
    </row>
    <row r="87" spans="1:8" s="11" customFormat="1" ht="15" thickBot="1" x14ac:dyDescent="0.35">
      <c r="E87"/>
      <c r="F87"/>
      <c r="G87"/>
      <c r="H87"/>
    </row>
    <row r="88" spans="1:8" x14ac:dyDescent="0.3">
      <c r="E88" s="63" t="s">
        <v>79</v>
      </c>
      <c r="F88" s="64"/>
      <c r="G88" s="64"/>
      <c r="H88" s="65"/>
    </row>
    <row r="89" spans="1:8" x14ac:dyDescent="0.3">
      <c r="A89" t="s">
        <v>31</v>
      </c>
      <c r="E89" s="66"/>
      <c r="F89" s="67"/>
      <c r="G89" s="67"/>
      <c r="H89" s="68"/>
    </row>
    <row r="90" spans="1:8" x14ac:dyDescent="0.3">
      <c r="E90" s="66"/>
      <c r="F90" s="67"/>
      <c r="G90" s="67"/>
      <c r="H90" s="68"/>
    </row>
    <row r="91" spans="1:8" x14ac:dyDescent="0.3">
      <c r="E91" s="66"/>
      <c r="F91" s="67"/>
      <c r="G91" s="67"/>
      <c r="H91" s="68"/>
    </row>
    <row r="92" spans="1:8" x14ac:dyDescent="0.3">
      <c r="E92" s="66"/>
      <c r="F92" s="67"/>
      <c r="G92" s="67"/>
      <c r="H92" s="68"/>
    </row>
    <row r="93" spans="1:8" x14ac:dyDescent="0.3">
      <c r="E93" s="66"/>
      <c r="F93" s="67"/>
      <c r="G93" s="67"/>
      <c r="H93" s="68"/>
    </row>
    <row r="94" spans="1:8" ht="15" thickBot="1" x14ac:dyDescent="0.35">
      <c r="E94" s="69"/>
      <c r="F94" s="70"/>
      <c r="G94" s="70"/>
      <c r="H94" s="71"/>
    </row>
    <row r="98" spans="1:4" x14ac:dyDescent="0.3">
      <c r="A98" s="49" t="s">
        <v>76</v>
      </c>
      <c r="B98" s="49"/>
    </row>
    <row r="99" spans="1:4" x14ac:dyDescent="0.3">
      <c r="A99" s="14" t="s">
        <v>32</v>
      </c>
      <c r="B99" s="14">
        <v>45</v>
      </c>
    </row>
    <row r="100" spans="1:4" ht="28.8" x14ac:dyDescent="0.3">
      <c r="A100" s="37" t="s">
        <v>46</v>
      </c>
      <c r="B100" s="14">
        <v>40</v>
      </c>
    </row>
    <row r="101" spans="1:4" x14ac:dyDescent="0.3">
      <c r="A101" s="14" t="s">
        <v>33</v>
      </c>
      <c r="B101" s="14">
        <v>8</v>
      </c>
    </row>
    <row r="102" spans="1:4" x14ac:dyDescent="0.3">
      <c r="A102" s="37" t="s">
        <v>34</v>
      </c>
      <c r="B102" s="20">
        <f>B99-B100</f>
        <v>5</v>
      </c>
      <c r="C102" s="7" t="s">
        <v>47</v>
      </c>
    </row>
    <row r="103" spans="1:4" x14ac:dyDescent="0.3">
      <c r="A103" s="14" t="s">
        <v>43</v>
      </c>
      <c r="B103" s="20">
        <f>B101-B102</f>
        <v>3</v>
      </c>
      <c r="C103" s="7" t="s">
        <v>35</v>
      </c>
    </row>
    <row r="105" spans="1:4" x14ac:dyDescent="0.3">
      <c r="A105" s="50" t="s">
        <v>77</v>
      </c>
      <c r="B105" s="50"/>
      <c r="C105" s="50"/>
      <c r="D105" s="50"/>
    </row>
    <row r="106" spans="1:4" ht="28.8" x14ac:dyDescent="0.3">
      <c r="A106" s="43" t="s">
        <v>39</v>
      </c>
      <c r="B106" s="29" t="s">
        <v>36</v>
      </c>
      <c r="C106" s="29" t="s">
        <v>37</v>
      </c>
      <c r="D106" s="29" t="s">
        <v>38</v>
      </c>
    </row>
    <row r="107" spans="1:4" x14ac:dyDescent="0.3">
      <c r="A107" s="14">
        <v>53</v>
      </c>
      <c r="B107" s="14">
        <f>IF((A107-$B$100)&gt;0,A107-$B$100,0)</f>
        <v>13</v>
      </c>
      <c r="C107" s="14">
        <f>B107-$B$101</f>
        <v>5</v>
      </c>
      <c r="D107" s="42">
        <f>C107/$B$101</f>
        <v>0.625</v>
      </c>
    </row>
    <row r="108" spans="1:4" x14ac:dyDescent="0.3">
      <c r="A108" s="14">
        <v>47</v>
      </c>
      <c r="B108" s="14">
        <f t="shared" ref="B108:B110" si="0">IF((A108-$B$100)&gt;0,A108-$B$100,0)</f>
        <v>7</v>
      </c>
      <c r="C108" s="14">
        <f>B108-$B$101</f>
        <v>-1</v>
      </c>
      <c r="D108" s="42">
        <f>C108/$B$101</f>
        <v>-0.125</v>
      </c>
    </row>
    <row r="109" spans="1:4" x14ac:dyDescent="0.3">
      <c r="A109" s="14">
        <v>37</v>
      </c>
      <c r="B109" s="14">
        <f t="shared" si="0"/>
        <v>0</v>
      </c>
      <c r="C109" s="14">
        <f>B109-$B$101</f>
        <v>-8</v>
      </c>
      <c r="D109" s="42">
        <f>C109/$B$101</f>
        <v>-1</v>
      </c>
    </row>
    <row r="110" spans="1:4" x14ac:dyDescent="0.3">
      <c r="A110" s="14">
        <v>30</v>
      </c>
      <c r="B110" s="14">
        <f t="shared" si="0"/>
        <v>0</v>
      </c>
      <c r="C110" s="14">
        <f>B110-$B$101</f>
        <v>-8</v>
      </c>
      <c r="D110" s="42">
        <f>C110/$B$101</f>
        <v>-1</v>
      </c>
    </row>
    <row r="112" spans="1:4" x14ac:dyDescent="0.3">
      <c r="A112" s="6"/>
    </row>
    <row r="115" spans="1:4" x14ac:dyDescent="0.3">
      <c r="A115" s="49" t="s">
        <v>40</v>
      </c>
      <c r="B115" s="49"/>
    </row>
    <row r="116" spans="1:4" x14ac:dyDescent="0.3">
      <c r="A116" s="29" t="s">
        <v>32</v>
      </c>
      <c r="B116" s="14">
        <v>45</v>
      </c>
    </row>
    <row r="117" spans="1:4" x14ac:dyDescent="0.3">
      <c r="A117" s="43" t="s">
        <v>45</v>
      </c>
      <c r="B117" s="14">
        <v>40</v>
      </c>
    </row>
    <row r="118" spans="1:4" x14ac:dyDescent="0.3">
      <c r="A118" s="29" t="s">
        <v>33</v>
      </c>
      <c r="B118" s="14">
        <v>3</v>
      </c>
    </row>
    <row r="119" spans="1:4" x14ac:dyDescent="0.3">
      <c r="A119" s="29" t="s">
        <v>41</v>
      </c>
      <c r="B119" s="14">
        <v>0</v>
      </c>
    </row>
    <row r="120" spans="1:4" x14ac:dyDescent="0.3">
      <c r="A120" s="29" t="s">
        <v>42</v>
      </c>
      <c r="B120" s="14">
        <f>B118+B119</f>
        <v>3</v>
      </c>
    </row>
    <row r="123" spans="1:4" x14ac:dyDescent="0.3">
      <c r="A123" s="50" t="s">
        <v>78</v>
      </c>
      <c r="B123" s="50"/>
      <c r="C123" s="50"/>
      <c r="D123" s="50"/>
    </row>
    <row r="124" spans="1:4" ht="28.8" x14ac:dyDescent="0.3">
      <c r="A124" s="45" t="s">
        <v>44</v>
      </c>
      <c r="B124" s="29" t="s">
        <v>36</v>
      </c>
      <c r="C124" s="29" t="s">
        <v>37</v>
      </c>
      <c r="D124" s="29" t="s">
        <v>38</v>
      </c>
    </row>
    <row r="125" spans="1:4" x14ac:dyDescent="0.3">
      <c r="A125" s="37">
        <v>48</v>
      </c>
      <c r="B125" s="14">
        <f>IF(($B$117-A125)&gt;0,$B$117-A125,0)</f>
        <v>0</v>
      </c>
      <c r="C125" s="14">
        <v>-3</v>
      </c>
      <c r="D125" s="44">
        <f>C125/$B$118</f>
        <v>-1</v>
      </c>
    </row>
    <row r="126" spans="1:4" x14ac:dyDescent="0.3">
      <c r="A126" s="14">
        <v>43</v>
      </c>
      <c r="B126" s="14">
        <f>IF(($B$117-A126)&gt;0,$B$117-A126,0)</f>
        <v>0</v>
      </c>
      <c r="C126" s="14">
        <f>B126-$B$118</f>
        <v>-3</v>
      </c>
      <c r="D126" s="44">
        <f>C126/$B$118</f>
        <v>-1</v>
      </c>
    </row>
    <row r="127" spans="1:4" x14ac:dyDescent="0.3">
      <c r="A127" s="14">
        <v>38</v>
      </c>
      <c r="B127" s="14">
        <f>IF(($B$117-A127)&gt;0,$B$117-A127,0)</f>
        <v>2</v>
      </c>
      <c r="C127" s="14">
        <f>B127-$B$118</f>
        <v>-1</v>
      </c>
      <c r="D127" s="44">
        <f t="shared" ref="D127:D128" si="1">C127/$B$118</f>
        <v>-0.33333333333333331</v>
      </c>
    </row>
    <row r="128" spans="1:4" x14ac:dyDescent="0.3">
      <c r="A128" s="14">
        <v>34</v>
      </c>
      <c r="B128" s="14">
        <f>IF(($B$117-A128)&gt;0,$B$117-A128,0)</f>
        <v>6</v>
      </c>
      <c r="C128" s="14">
        <f>B128-$B$118</f>
        <v>3</v>
      </c>
      <c r="D128" s="44">
        <f t="shared" si="1"/>
        <v>1</v>
      </c>
    </row>
    <row r="129" spans="2:17" x14ac:dyDescent="0.3">
      <c r="D129" s="46"/>
    </row>
    <row r="131" spans="2:17" s="11" customFormat="1" x14ac:dyDescent="0.3"/>
    <row r="132" spans="2:17" ht="23.4" x14ac:dyDescent="0.45">
      <c r="B132" s="9"/>
      <c r="C132" s="8"/>
      <c r="D132" s="8"/>
      <c r="E132" s="8"/>
      <c r="F132" s="8"/>
      <c r="G132" s="8"/>
      <c r="H132" s="10"/>
      <c r="I132" s="10"/>
      <c r="J132" s="8"/>
      <c r="K132" s="47"/>
      <c r="L132" s="48"/>
      <c r="M132" s="10"/>
      <c r="N132" s="8"/>
      <c r="O132" s="8"/>
      <c r="P132" s="8"/>
      <c r="Q132" s="8"/>
    </row>
  </sheetData>
  <mergeCells count="14">
    <mergeCell ref="E1:H5"/>
    <mergeCell ref="E12:H16"/>
    <mergeCell ref="E24:H29"/>
    <mergeCell ref="E88:H94"/>
    <mergeCell ref="E53:K57"/>
    <mergeCell ref="A98:B98"/>
    <mergeCell ref="A115:B115"/>
    <mergeCell ref="A105:D105"/>
    <mergeCell ref="A123:D123"/>
    <mergeCell ref="A30:B30"/>
    <mergeCell ref="A38:B38"/>
    <mergeCell ref="A43:B43"/>
    <mergeCell ref="A60:B60"/>
    <mergeCell ref="A70:B70"/>
  </mergeCells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A166640C2EA842BCCB49D73418B8AA" ma:contentTypeVersion="6" ma:contentTypeDescription="Create a new document." ma:contentTypeScope="" ma:versionID="6c7b5823141d5f50aecfda947f62cb43">
  <xsd:schema xmlns:xsd="http://www.w3.org/2001/XMLSchema" xmlns:xs="http://www.w3.org/2001/XMLSchema" xmlns:p="http://schemas.microsoft.com/office/2006/metadata/properties" xmlns:ns3="08ba64f2-343f-4c5c-95c4-82115ee1b8db" targetNamespace="http://schemas.microsoft.com/office/2006/metadata/properties" ma:root="true" ma:fieldsID="c05ad268ab1b9e2496aa02943423bef6" ns3:_="">
    <xsd:import namespace="08ba64f2-343f-4c5c-95c4-82115ee1b8d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a64f2-343f-4c5c-95c4-82115ee1b8d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ba64f2-343f-4c5c-95c4-82115ee1b8db" xsi:nil="true"/>
  </documentManagement>
</p:properties>
</file>

<file path=customXml/itemProps1.xml><?xml version="1.0" encoding="utf-8"?>
<ds:datastoreItem xmlns:ds="http://schemas.openxmlformats.org/officeDocument/2006/customXml" ds:itemID="{18E7FE27-EB90-4F3B-AF09-A1020113B4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ba64f2-343f-4c5c-95c4-82115ee1b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9390FE-5BD7-43B3-8298-EF1FAC29C5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DCF6C4-0889-458B-93ED-A9E08E36A75E}">
  <ds:schemaRefs>
    <ds:schemaRef ds:uri="http://purl.org/dc/terms/"/>
    <ds:schemaRef ds:uri="08ba64f2-343f-4c5c-95c4-82115ee1b8db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38</vt:i4>
      </vt:variant>
    </vt:vector>
  </HeadingPairs>
  <TitlesOfParts>
    <vt:vector size="39" baseType="lpstr">
      <vt:lpstr>Sheet1</vt:lpstr>
      <vt:lpstr>aasta_lõpus_makstav_pangalaen</vt:lpstr>
      <vt:lpstr>aktsia_hind</vt:lpstr>
      <vt:lpstr>aktsia_kogus_peale_reverse_split</vt:lpstr>
      <vt:lpstr>aktsia_reverse_split</vt:lpstr>
      <vt:lpstr>aktsia_split</vt:lpstr>
      <vt:lpstr>aktsiadividend</vt:lpstr>
      <vt:lpstr>algne_aktsiate_kogus</vt:lpstr>
      <vt:lpstr>ammort_jarg_aasta</vt:lpstr>
      <vt:lpstr>ammortisatsioon</vt:lpstr>
      <vt:lpstr>dividendi_suurus_arvestades_optimaalseks_peevatat_raha_jääki</vt:lpstr>
      <vt:lpstr>EBIT_jarg_aasta</vt:lpstr>
      <vt:lpstr>FCFE</vt:lpstr>
      <vt:lpstr>Intressikulud</vt:lpstr>
      <vt:lpstr>intressikulud_jarg_aasta</vt:lpstr>
      <vt:lpstr>Intressikulude_suurenemine</vt:lpstr>
      <vt:lpstr>investeeringud_põhivarasse</vt:lpstr>
      <vt:lpstr>kasv_käibekapitali_vajaduses</vt:lpstr>
      <vt:lpstr>kasvumäär__müügitulu__kulum_ja_ärikasum</vt:lpstr>
      <vt:lpstr>käibekapitali_vajadus</vt:lpstr>
      <vt:lpstr>käibekapitali_vajadus_müügituludest</vt:lpstr>
      <vt:lpstr>Maksude_eelne_kasum</vt:lpstr>
      <vt:lpstr>Maksude_eelne_kasum_jarg_aasta</vt:lpstr>
      <vt:lpstr>muugikulu_jarg_aasta</vt:lpstr>
      <vt:lpstr>muugitulud_järgmine_aasta</vt:lpstr>
      <vt:lpstr>Müügikulu__COGS</vt:lpstr>
      <vt:lpstr>Müügitulud</vt:lpstr>
      <vt:lpstr>optimaalne_rahajääk</vt:lpstr>
      <vt:lpstr>Puhaskasum</vt:lpstr>
      <vt:lpstr>puhaskasum_jarg_aasta</vt:lpstr>
      <vt:lpstr>rahajääk</vt:lpstr>
      <vt:lpstr>TM_kasumilt</vt:lpstr>
      <vt:lpstr>Tulumaks_kasumilt</vt:lpstr>
      <vt:lpstr>Tulumaks_kasumilt_jarg_aasta</vt:lpstr>
      <vt:lpstr>uus_aktsia_hind</vt:lpstr>
      <vt:lpstr>uus_aktsia_kogus</vt:lpstr>
      <vt:lpstr>uus_aktsiate_kogus</vt:lpstr>
      <vt:lpstr>võlakirja_emissioon</vt:lpstr>
      <vt:lpstr>Ärikasum__EBIT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Erik Lüllman</dc:creator>
  <cp:lastModifiedBy>markus Lüllman</cp:lastModifiedBy>
  <dcterms:created xsi:type="dcterms:W3CDTF">2025-12-23T17:30:23Z</dcterms:created>
  <dcterms:modified xsi:type="dcterms:W3CDTF">2026-07-16T16:03:51Z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0x01010005A166640C2EA842BCCB49D73418B8AA</vt:lpwstr>
  </property>
</Properties>
</file>