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98c36b14c3f46f3/Desktop/Rahandus-finantsanalüüs/"/>
    </mc:Choice>
  </mc:AlternateContent>
  <xr:revisionPtr revIDLastSave="1064" documentId="8_{8E1D2D29-96AA-4413-A8B2-D5503102C19C}" xr6:coauthVersionLast="47" xr6:coauthVersionMax="47" xr10:uidLastSave="{22E1217D-5DE4-4952-AD32-CD97B6524A7B}"/>
  <bookViews>
    <workbookView minimized="1" xWindow="6828" yWindow="6144" windowWidth="17280" windowHeight="8880" xr2:uid="{0AAAF4B5-4DF3-4DC0-BE75-1E1064D4A448}"/>
  </bookViews>
  <sheets>
    <sheet name="Sheet1" sheetId="1" r:id="rId1"/>
  </sheets>
  <definedNames>
    <definedName name="Aastane_kulumisumma">Sheet1!$B$13</definedName>
    <definedName name="alginvesteering">Sheet1!$B$150</definedName>
    <definedName name="algne__investeering">Sheet1!$B$126</definedName>
    <definedName name="algne_investeering">Sheet1!$A$33</definedName>
    <definedName name="EAC">Sheet1!$A$159</definedName>
    <definedName name="hanke_pikkus_aastates">Sheet1!$B$125</definedName>
    <definedName name="Järele_jäänud_kasutusaeg">Sheet1!$B$10</definedName>
    <definedName name="kapitali__hind">Sheet1!$B$132</definedName>
    <definedName name="kapitali_hind">Sheet1!$B$99</definedName>
    <definedName name="kasutatud_masina_eluiga">Sheet1!$B$89</definedName>
    <definedName name="kasutatud_masina_hind">Sheet1!$B$87</definedName>
    <definedName name="kasutatud_masina_jääk">Sheet1!$B$91</definedName>
    <definedName name="kulu">Sheet1!$C$145</definedName>
    <definedName name="KULUM_aastas">Sheet1!$B$134</definedName>
    <definedName name="käibekapitali_vajadus">Sheet1!$B$127</definedName>
    <definedName name="Lisanduvad_äritegevuslikud_rahavood__OCF">Sheet1!$B$33</definedName>
    <definedName name="lõpetav_rahavoog">Sheet1!$C$33</definedName>
    <definedName name="maksumäär">Sheet1!$B$28</definedName>
    <definedName name="muutuvkulu">Sheet1!$B$129</definedName>
    <definedName name="müügitulu">Sheet1!$B$133</definedName>
    <definedName name="Müügitulu_aastas">Sheet1!$B$11</definedName>
    <definedName name="müügitulu_võit">Sheet1!$B$21</definedName>
    <definedName name="netoinvesteeringute_nüüdisväärtus">Sheet1!$A$157</definedName>
    <definedName name="nõutav_tulumäär">Sheet1!$B$57</definedName>
    <definedName name="oodatav_tootlus">Sheet1!$B$99</definedName>
    <definedName name="oodatav_tulu">Sheet1!$B$27</definedName>
    <definedName name="Planeeritav_müügimaht">Sheet1!$A$161</definedName>
    <definedName name="Praegune_raamatupidamislik_väärtus">Sheet1!$B$8</definedName>
    <definedName name="Praegune_turuväärtus">Sheet1!$B$9</definedName>
    <definedName name="püsiv_tegevuskulu">Sheet1!$B$130</definedName>
    <definedName name="Raamatupidamislik_jääkväärtus__10a">Sheet1!$B$14</definedName>
    <definedName name="raamatupidamislik_tasuvuslävend_saapapaaride_arvuna">Sheet1!$A$163</definedName>
    <definedName name="Rahalised_tegevuskulud">Sheet1!$B$12</definedName>
    <definedName name="saabaste_arv">Sheet1!$B$124</definedName>
    <definedName name="saapa_hind">Sheet1!$B$128</definedName>
    <definedName name="seadmete_jääkväärtus">Sheet1!$B$131</definedName>
    <definedName name="tarnitavate_saapapaaride_arv">Sheet1!$B$124</definedName>
    <definedName name="tegevuskulude_muut">Sheet1!$B$22</definedName>
    <definedName name="toote_hind">Sheet1!$B$92</definedName>
    <definedName name="tulu">Sheet1!$C$144</definedName>
    <definedName name="täiedav_käibekapitali_vajadus">Sheet1!$B$26</definedName>
    <definedName name="uue_masina_eeldatav_eluiga">Sheet1!$B$88</definedName>
    <definedName name="uue_masina_hind">Sheet1!$B$86</definedName>
    <definedName name="uue_masina_jääk">Sheet1!$B$90</definedName>
    <definedName name="uue_masina_kulud">Sheet1!$B$97</definedName>
    <definedName name="uue_masina_müügitulu_aastas">Sheet1!$B$95</definedName>
    <definedName name="Uue_masina_tootmisvõimsus__tk_a">Sheet1!$B$93</definedName>
    <definedName name="uue_seadme_aastane_ammort_VÕRRELDES_VARASEMAGA">Sheet1!$B$23</definedName>
    <definedName name="uue_seadme_Aastane_kulumisumma">Sheet1!$D$13</definedName>
    <definedName name="uue_seadme_aastane_muugitulu">Sheet1!$D$11</definedName>
    <definedName name="uue_seadme_alginvesteering">Sheet1!$B$19</definedName>
    <definedName name="uue_seadme_Eeldatav_eluiga">Sheet1!$D$10</definedName>
    <definedName name="uue_seadme_jaakvaartus">Sheet1!$D$14</definedName>
    <definedName name="uue_seadme_loppvaartus">Sheet1!$D$15</definedName>
    <definedName name="uue_seadme_lõppväärtus">Sheet1!$B$24</definedName>
    <definedName name="uue_seadme_tegevuskulud">Sheet1!$D$12</definedName>
    <definedName name="vajalik_käibekapital">Sheet1!$B$151</definedName>
    <definedName name="vana_masina_kulud">Sheet1!$B$98</definedName>
    <definedName name="vana_masina_müügitulu_aastas">Sheet1!$B$96</definedName>
    <definedName name="Vana_masina_tootmisvõimsus__tk_a">Sheet1!$B$94</definedName>
    <definedName name="vana_seadme_loppvaartus">Sheet1!$B$15</definedName>
    <definedName name="vana_seadme_lõppväärtus">Sheet1!$B$25</definedName>
    <definedName name="vana_seadme_müük">Sheet1!$B$20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1" i="1" l="1"/>
  <c r="A157" i="1"/>
  <c r="A159" i="1" s="1"/>
  <c r="A167" i="1" s="1"/>
  <c r="B165" i="1"/>
  <c r="C134" i="1"/>
  <c r="G151" i="1" l="1"/>
  <c r="G150" i="1"/>
  <c r="B151" i="1"/>
  <c r="B150" i="1"/>
  <c r="C145" i="1"/>
  <c r="B133" i="1"/>
  <c r="B134" i="1"/>
  <c r="A163" i="1" s="1"/>
  <c r="A165" i="1" s="1"/>
  <c r="F106" i="1"/>
  <c r="B105" i="1"/>
  <c r="B96" i="1"/>
  <c r="F107" i="1" s="1"/>
  <c r="B95" i="1"/>
  <c r="B106" i="1" s="1"/>
  <c r="B75" i="1"/>
  <c r="C115" i="1"/>
  <c r="B159" i="1"/>
  <c r="G116" i="1"/>
  <c r="G107" i="1"/>
  <c r="C117" i="1"/>
  <c r="C105" i="1"/>
  <c r="B167" i="1"/>
  <c r="C106" i="1"/>
  <c r="B163" i="1"/>
  <c r="B157" i="1"/>
  <c r="G115" i="1"/>
  <c r="G106" i="1"/>
  <c r="C144" i="1" l="1"/>
  <c r="C146" i="1" s="1"/>
  <c r="B152" i="1"/>
  <c r="B107" i="1"/>
  <c r="B108" i="1" s="1"/>
  <c r="B109" i="1" s="1"/>
  <c r="B110" i="1" s="1"/>
  <c r="B111" i="1" s="1"/>
  <c r="B112" i="1" s="1"/>
  <c r="B113" i="1" s="1"/>
  <c r="B114" i="1" s="1"/>
  <c r="B115" i="1" s="1"/>
  <c r="F108" i="1"/>
  <c r="F109" i="1" s="1"/>
  <c r="F110" i="1" s="1"/>
  <c r="F111" i="1" s="1"/>
  <c r="F112" i="1" s="1"/>
  <c r="F113" i="1" s="1"/>
  <c r="F114" i="1" s="1"/>
  <c r="F115" i="1" l="1"/>
  <c r="F116" i="1" s="1"/>
  <c r="B116" i="1"/>
  <c r="B117" i="1" s="1"/>
  <c r="B76" i="1" l="1"/>
  <c r="C70" i="1"/>
  <c r="C69" i="1"/>
  <c r="B71" i="1"/>
  <c r="B70" i="1"/>
  <c r="B69" i="1"/>
  <c r="B19" i="1"/>
  <c r="B25" i="1"/>
  <c r="B24" i="1"/>
  <c r="B23" i="1"/>
  <c r="B22" i="1"/>
  <c r="B21" i="1"/>
  <c r="B20" i="1"/>
  <c r="D145" i="1"/>
  <c r="E145" i="1" s="1"/>
  <c r="F145" i="1" s="1"/>
  <c r="G145" i="1" s="1"/>
  <c r="D33" i="1"/>
  <c r="C96" i="1"/>
  <c r="C76" i="1"/>
  <c r="C95" i="1"/>
  <c r="C24" i="1"/>
  <c r="C23" i="1"/>
  <c r="C22" i="1"/>
  <c r="C21" i="1"/>
  <c r="C20" i="1"/>
  <c r="C75" i="1"/>
  <c r="M39" i="1"/>
  <c r="C25" i="1"/>
  <c r="A33" i="1" l="1"/>
  <c r="C33" i="1"/>
  <c r="B33" i="1"/>
  <c r="C72" i="1"/>
  <c r="B72" i="1"/>
  <c r="C149" i="1"/>
  <c r="C152" i="1" s="1"/>
  <c r="D144" i="1"/>
  <c r="B39" i="1" l="1"/>
  <c r="B40" i="1" s="1"/>
  <c r="B41" i="1"/>
  <c r="K39" i="1"/>
  <c r="D39" i="1"/>
  <c r="E39" i="1"/>
  <c r="F39" i="1"/>
  <c r="G39" i="1"/>
  <c r="H39" i="1"/>
  <c r="I39" i="1"/>
  <c r="J39" i="1"/>
  <c r="C39" i="1"/>
  <c r="C41" i="1" s="1"/>
  <c r="D41" i="1" s="1"/>
  <c r="E41" i="1" s="1"/>
  <c r="F41" i="1" s="1"/>
  <c r="G41" i="1" s="1"/>
  <c r="H41" i="1" s="1"/>
  <c r="I41" i="1" s="1"/>
  <c r="J41" i="1" s="1"/>
  <c r="K41" i="1" s="1"/>
  <c r="L39" i="1"/>
  <c r="E144" i="1"/>
  <c r="D146" i="1"/>
  <c r="D149" i="1" s="1"/>
  <c r="D152" i="1" s="1"/>
  <c r="C40" i="1" l="1"/>
  <c r="D40" i="1" s="1"/>
  <c r="E40" i="1" s="1"/>
  <c r="B42" i="1"/>
  <c r="L41" i="1"/>
  <c r="C42" i="1"/>
  <c r="D42" i="1" s="1"/>
  <c r="E42" i="1" s="1"/>
  <c r="F42" i="1" s="1"/>
  <c r="G42" i="1" s="1"/>
  <c r="H42" i="1" s="1"/>
  <c r="I42" i="1" s="1"/>
  <c r="J42" i="1" s="1"/>
  <c r="K42" i="1" s="1"/>
  <c r="F144" i="1"/>
  <c r="E146" i="1"/>
  <c r="E149" i="1" s="1"/>
  <c r="E152" i="1" s="1"/>
  <c r="D47" i="1" l="1"/>
  <c r="D48" i="1"/>
  <c r="L42" i="1"/>
  <c r="F40" i="1"/>
  <c r="G40" i="1" s="1"/>
  <c r="H40" i="1" s="1"/>
  <c r="I40" i="1" s="1"/>
  <c r="J40" i="1" s="1"/>
  <c r="K40" i="1" s="1"/>
  <c r="L40" i="1" s="1"/>
  <c r="G144" i="1"/>
  <c r="G146" i="1" s="1"/>
  <c r="G149" i="1" s="1"/>
  <c r="G152" i="1" s="1"/>
  <c r="F146" i="1"/>
  <c r="F149" i="1" s="1"/>
  <c r="F152" i="1" s="1"/>
  <c r="A16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tc={5BBA79E9-980B-4A00-AD99-20BEC9A10685}</author>
    <author>tc={1B4D1F77-5EAD-4D2A-BC3F-19BD3F77DA43}</author>
    <author>tc={69D61615-E3DF-425D-BE12-3485A1C03991}</author>
    <author>tc={16C52412-8160-4863-A164-E4B63A680CC0}</author>
    <author>tc={30338D78-2587-4001-A95E-46F9930FB2AD}</author>
    <author>tc={F72FABC9-1970-4090-AE2D-E6E9AD39EEED}</author>
    <author>tc={5F1F8F40-6457-4D9A-A215-D4B1707D7C80}</author>
    <author>tc={931A4C33-9EC3-402A-AB8E-10FEAD97D783}</author>
    <author>tc={6F4E3CBC-7CB8-4097-8493-FD1093A4C481}</author>
    <author>tc={4D8B0E43-FE40-4740-B98B-2ED6DB7E8024}</author>
    <author>tc={AC726FE6-55F8-4F35-BFB4-EA5EE804908B}</author>
    <author>tc={CFB82128-8446-44B8-B183-9CC55987C06F}</author>
    <author>tc={B52680C3-0E5F-4549-82FF-159F77ED9501}</author>
    <author>tc={C2EB3F3C-69E3-4F1B-9C67-568704E3E180}</author>
    <author>tc={2B1EF60E-F781-44DE-8364-C2557132354F}</author>
  </authors>
  <commentList>
    <comment ref="A33" authorId="0" shapeId="0" xr:uid="{5BBA79E9-980B-4A00-AD99-20BEC9A10685}">
      <text>
        <t>[Threaded comment]
Your version of Excel allows you to read this threaded comment; however, any edits to it will get removed if the file is opened in a newer version of Excel. Learn more: https://go.microsoft.com/fwlink/?linkid=870924
Comment:
    turuväärtus uuel seadmel - turuväärtus vanal seadmel ehk alternatiivkulu+tagasisaadav käibekapital-maks turuväärtuste vahest</t>
      </text>
    </comment>
    <comment ref="B33" authorId="1" shapeId="0" xr:uid="{1B4D1F77-5EAD-4D2A-BC3F-19BD3F77DA43}">
      <text>
        <t xml:space="preserve">[Threaded comment]
Your version of Excel allows you to read this threaded comment; however, any edits to it will get removed if the file is opened in a newer version of Excel. Learn more: https://go.microsoft.com/fwlink/?linkid=870924
Comment:
    tulu-kulu-(kulumisummade muutus võrreldes varasemaga)*(1-tc)+ kulumisummade muutus võrreldes varasemaga
</t>
      </text>
    </comment>
    <comment ref="A40" authorId="2" shapeId="0" xr:uid="{69D61615-E3DF-425D-BE12-3485A1C03991}">
      <text>
        <t>[Threaded comment]
Your version of Excel allows you to read this threaded comment; however, any edits to it will get removed if the file is opened in a newer version of Excel. Learn more: https://go.microsoft.com/fwlink/?linkid=870924
Comment:
    Lihtne tasuvusaeg ei arvesta raha ajaväärtust, mis teeb selle ebatäpsemaks
Samuti selle tasuvusaeg on tavaliselt lühem, ning võib seeläbi üle hinnata projekti tasuvust
Tasuvusaeg üldiselt ei arvesta ka hilisemaid rahavoogusid, mis võivad pikema tasuvusajaga projekti muuta hoopis tasuvamaks</t>
      </text>
    </comment>
    <comment ref="G40" authorId="3" shapeId="0" xr:uid="{16C52412-8160-4863-A164-E4B63A680CC0}">
      <text>
        <t>[Threaded comment]
Your version of Excel allows you to read this threaded comment; however, any edits to it will get removed if the file is opened in a newer version of Excel. Learn more: https://go.microsoft.com/fwlink/?linkid=870924
Comment:
    Tasuvusaeg saavutatakse 5-6 aasta vahel</t>
      </text>
    </comment>
    <comment ref="I42" authorId="4" shapeId="0" xr:uid="{30338D78-2587-4001-A95E-46F9930FB2AD}">
      <text>
        <t>[Threaded comment]
Your version of Excel allows you to read this threaded comment; however, any edits to it will get removed if the file is opened in a newer version of Excel. Learn more: https://go.microsoft.com/fwlink/?linkid=870924
Comment:
    Tasuvusaeg saavutatakse 7-8 aasta vahel</t>
      </text>
    </comment>
    <comment ref="C47" authorId="5" shapeId="0" xr:uid="{F72FABC9-1970-4090-AE2D-E6E9AD39EEED}">
      <text>
        <t xml:space="preserve">[Threaded comment]
Your version of Excel allows you to read this threaded comment; however, any edits to it will get removed if the file is opened in a newer version of Excel. Learn more: https://go.microsoft.com/fwlink/?linkid=870924
Comment:
    Puhas nüüdisväärtus, kui palju rahavood(rahalised sissetulekud ja väljaminekud) kokku väärt on täna(kõikide rahavooguse summa)
</t>
      </text>
    </comment>
    <comment ref="C48" authorId="6" shapeId="0" xr:uid="{5F1F8F40-6457-4D9A-A215-D4B1707D7C80}">
      <text>
        <t>[Threaded comment]
Your version of Excel allows you to read this threaded comment; however, any edits to it will get removed if the file is opened in a newer version of Excel. Learn more: https://go.microsoft.com/fwlink/?linkid=870924
Comment:
    Projekti oodatav tulumäär, tuleks võrrelda nõutava tulumääraga, kui ületab, tasub ära. Vastab diskontomäärale, kus NPV võrdub nulliga
Reply:
    Võrreldakse ka kapitali hinnaga WACC, kui suurem, tasub investeerida</t>
      </text>
    </comment>
    <comment ref="B75" authorId="7" shapeId="0" xr:uid="{931A4C33-9EC3-402A-AB8E-10FEAD97D783}">
      <text>
        <t>[Threaded comment]
Your version of Excel allows you to read this threaded comment; however, any edits to it will get removed if the file is opened in a newer version of Excel. Learn more: https://go.microsoft.com/fwlink/?linkid=870924
Comment:
    kõrgem kui nõutav tulumäär, ehk projekt tasub ellu viia</t>
      </text>
    </comment>
    <comment ref="B76" authorId="8" shapeId="0" xr:uid="{6F4E3CBC-7CB8-4097-8493-FD1093A4C481}">
      <text>
        <t>[Threaded comment]
Your version of Excel allows you to read this threaded comment; however, any edits to it will get removed if the file is opened in a newer version of Excel. Learn more: https://go.microsoft.com/fwlink/?linkid=870924
Comment:
    Seda ei saa usaldusväärselt tõlgendada ebatavaliste rahavoogude puhul</t>
      </text>
    </comment>
    <comment ref="I84" authorId="9" shapeId="0" xr:uid="{4D8B0E43-FE40-4740-B98B-2ED6DB7E8024}">
      <text>
        <t xml:space="preserve">[Threaded comment]
Your version of Excel allows you to read this threaded comment; however, any edits to it will get removed if the file is opened in a newer version of Excel. Learn more: https://go.microsoft.com/fwlink/?linkid=870924
Comment:
    NPV näitab, kui palju väärtust loob projekt kokku 
EA näitab, kui palju väärtust loob projekt keskmiselt aastas
Seetõttu tuleks erinevate pikkuste, kuid sama eesmärgiga projektide puhul eelsitada ekvivalentset annuiteeti
Antud juhul on siiski võrdlemiseks mõlemad näitajad välja toodud
</t>
      </text>
    </comment>
    <comment ref="A85" authorId="10" shapeId="0" xr:uid="{AC726FE6-55F8-4F35-BFB4-EA5EE804908B}">
      <text>
        <t>[Threaded comment]
Your version of Excel allows you to read this threaded comment; however, any edits to it will get removed if the file is opened in a newer version of Excel. Learn more: https://go.microsoft.com/fwlink/?linkid=870924
Comment:
    maksud ja lisanduvad püsikulud puuduvad lihtsustamise eesmärgil</t>
      </text>
    </comment>
    <comment ref="A157" authorId="11" shapeId="0" xr:uid="{CFB82128-8446-44B8-B183-9CC55987C06F}">
      <text>
        <t>[Threaded comment]
Your version of Excel allows you to read this threaded comment; however, any edits to it will get removed if the file is opened in a newer version of Excel. Learn more: https://go.microsoft.com/fwlink/?linkid=870924
Comment:
    netoinvesteeringute nüüdisväärtus, arvestab ainult investeeringuga seotud rahavoogusid mitte tegevuskuludega seotud</t>
      </text>
    </comment>
    <comment ref="A158" authorId="12" shapeId="0" xr:uid="{B52680C3-0E5F-4549-82FF-159F77ED9501}">
      <text>
        <t>[Threaded comment]
Your version of Excel allows you to read this threaded comment; however, any edits to it will get removed if the file is opened in a newer version of Excel. Learn more: https://go.microsoft.com/fwlink/?linkid=870924
Comment:
    milline peab olema iga-aastane täiendav rahavoog, et tagasi teenida investeeringu kulud</t>
      </text>
    </comment>
    <comment ref="A162" authorId="13" shapeId="0" xr:uid="{C2EB3F3C-69E3-4F1B-9C67-568704E3E180}">
      <text>
        <t xml:space="preserve">[Threaded comment]
Your version of Excel allows you to read this threaded comment; however, any edits to it will get removed if the file is opened in a newer version of Excel. Learn more: https://go.microsoft.com/fwlink/?linkid=870924
Comment:
    müügimaht (või tulu), mille juures raamatupidamislik kasum on null — st tulud katavad täpselt kõik kulud, k.a kulum (amortisatsioon). 
Ei arvesta raha ajaväärtust ega kapitali hinda
</t>
      </text>
    </comment>
    <comment ref="A166" authorId="14" shapeId="0" xr:uid="{2B1EF60E-F781-44DE-8364-C2557132354F}">
      <text>
        <t xml:space="preserve">[Threaded comment]
Your version of Excel allows you to read this threaded comment; however, any edits to it will get removed if the file is opened in a newer version of Excel. Learn more: https://go.microsoft.com/fwlink/?linkid=870924
Comment:
    Näitab müügimahtu, mille juures ettevõttel on piisavalt raha, et täita kõik maksekohustused.
Siin arvestatakse:
reaalseid rahalisi püsikulusid, 
intresse, 
laenu põhiosa tagasimakseid, 
vajadusel dividendide või investorite nõutavaid väljamakseid. 
Amortisatsiooni ei arvestata, sest see ei too kaasa rahalist väljaminekut.
</t>
      </text>
    </comment>
  </commentList>
</comments>
</file>

<file path=xl/sharedStrings.xml><?xml version="1.0" encoding="utf-8"?>
<sst xmlns="http://schemas.openxmlformats.org/spreadsheetml/2006/main" count="126" uniqueCount="107">
  <si>
    <t>investeering</t>
  </si>
  <si>
    <t>diskonteeritud tasuvusaeg</t>
  </si>
  <si>
    <t>vana seadme müük</t>
  </si>
  <si>
    <t>müügitulu võit</t>
  </si>
  <si>
    <t>tegevuskulude muut</t>
  </si>
  <si>
    <t>algne investeering</t>
  </si>
  <si>
    <t>täiedav käibekapitali vajadus</t>
  </si>
  <si>
    <t xml:space="preserve">uue seadme lõppväärtus </t>
  </si>
  <si>
    <t>uue seadme aastane ammort VÕRRELDES VARASEMAGA</t>
  </si>
  <si>
    <t>lõpetav rahavoog</t>
  </si>
  <si>
    <t>vana seadme lõppväärtus</t>
  </si>
  <si>
    <t>aasta</t>
  </si>
  <si>
    <t>rahavood</t>
  </si>
  <si>
    <t>diskonteeritud rahavood</t>
  </si>
  <si>
    <t>oodatav tulu</t>
  </si>
  <si>
    <t>NPV</t>
  </si>
  <si>
    <t>IRR</t>
  </si>
  <si>
    <t>tasub ära ning kasvatab ettevõtte väärtust</t>
  </si>
  <si>
    <t>MIRR</t>
  </si>
  <si>
    <t>negatiivsed rahad diskonteerida</t>
  </si>
  <si>
    <t>poritiivsed rahavood tulevikku</t>
  </si>
  <si>
    <t>positiivsed rahavood</t>
  </si>
  <si>
    <t>negatiivsed rahavood</t>
  </si>
  <si>
    <t>kokku</t>
  </si>
  <si>
    <t>MIRR ARVUTUS</t>
  </si>
  <si>
    <t>=&gt;13305785=21486000/(1+MIRR)^4</t>
  </si>
  <si>
    <t>3.</t>
  </si>
  <si>
    <t>aastad</t>
  </si>
  <si>
    <t>EA</t>
  </si>
  <si>
    <t>uus masina rahavod</t>
  </si>
  <si>
    <t>uue masina hind</t>
  </si>
  <si>
    <t xml:space="preserve">kasutatud masina hind </t>
  </si>
  <si>
    <t>vana masina rahavood</t>
  </si>
  <si>
    <t>uue masina jääk</t>
  </si>
  <si>
    <t>kasutatud masina jääk</t>
  </si>
  <si>
    <t>toote hind</t>
  </si>
  <si>
    <t>uue masina kulud</t>
  </si>
  <si>
    <t>vana masina kulud</t>
  </si>
  <si>
    <t>tulu</t>
  </si>
  <si>
    <t>kulu</t>
  </si>
  <si>
    <t>rahavoog</t>
  </si>
  <si>
    <t>käibekapitali vajadus</t>
  </si>
  <si>
    <t>saapa hind</t>
  </si>
  <si>
    <t>muutuvkulu</t>
  </si>
  <si>
    <t>KULUM aastas</t>
  </si>
  <si>
    <t>EAC</t>
  </si>
  <si>
    <t>netoinvesteeringute nüüdisväärtus</t>
  </si>
  <si>
    <t>4.</t>
  </si>
  <si>
    <t>2.</t>
  </si>
  <si>
    <t>Vana seade</t>
  </si>
  <si>
    <t>Uus seade</t>
  </si>
  <si>
    <t>Praegune raamatupidamislik väärtus</t>
  </si>
  <si>
    <t>Investeeringu suurus</t>
  </si>
  <si>
    <t>Praegune turuväärtus</t>
  </si>
  <si>
    <t>Eeldatav eluiga</t>
  </si>
  <si>
    <t>10 aastat</t>
  </si>
  <si>
    <t>Järele jäänud kasutusaeg</t>
  </si>
  <si>
    <t>Müügitulu aastas</t>
  </si>
  <si>
    <t>Rahalised tegevuskulud</t>
  </si>
  <si>
    <t>Aastane kulumisumma</t>
  </si>
  <si>
    <t>Raamatupidamislik jääkväärtus (10a)</t>
  </si>
  <si>
    <t>Eeldatav turuväärtus (10a)</t>
  </si>
  <si>
    <t>maksumäär</t>
  </si>
  <si>
    <t>uue seadme alginvesteering</t>
  </si>
  <si>
    <t xml:space="preserve">Lisanduvad äritegevuslikud rahavood (OCF) </t>
  </si>
  <si>
    <t>Vana seadme asendamine uuega</t>
  </si>
  <si>
    <t>projekti rahavood</t>
  </si>
  <si>
    <r>
      <t>lihtne tasuvusaeg (</t>
    </r>
    <r>
      <rPr>
        <b/>
        <sz val="11"/>
        <color theme="1"/>
        <rFont val="Aptos Narrow"/>
        <family val="2"/>
        <scheme val="minor"/>
      </rPr>
      <t>ja selle puudused</t>
    </r>
    <r>
      <rPr>
        <sz val="11"/>
        <color theme="1"/>
        <rFont val="Aptos Narrow"/>
        <family val="2"/>
        <charset val="186"/>
        <scheme val="minor"/>
      </rPr>
      <t>)</t>
    </r>
  </si>
  <si>
    <t>projekti tasuvuse näitajad</t>
  </si>
  <si>
    <t>projekti tasuvusaeg ning rahavood</t>
  </si>
  <si>
    <t>MIRR leidmine</t>
  </si>
  <si>
    <t>andmed</t>
  </si>
  <si>
    <t>algne  investeering</t>
  </si>
  <si>
    <t xml:space="preserve">nõutav tulumäär, sh rahavoogude reinvesteerimisel ning finantseerimisel </t>
  </si>
  <si>
    <t>uue masina eeldatav eluiga</t>
  </si>
  <si>
    <t>kasutatud masina eluiga</t>
  </si>
  <si>
    <t>kapitali hind</t>
  </si>
  <si>
    <t>Uue masina tootmisvõimsus (tk/a)</t>
  </si>
  <si>
    <t>Vana masina tootmisvõimsus (tk/a)</t>
  </si>
  <si>
    <t>uue masina müügitulu aastas</t>
  </si>
  <si>
    <t>vana masina müügitulu aastas</t>
  </si>
  <si>
    <t>uue masina tasuvusanalüüs</t>
  </si>
  <si>
    <t>vana masina tasuvusanalüüs</t>
  </si>
  <si>
    <t xml:space="preserve">Puhas nüüdisväärtus (NPV), sisemine tasuvusmäär (IRR) ja diskonteeritud tasuvusaja leidmine </t>
  </si>
  <si>
    <t>Modifitseeritud sisemine tasuvusmäär (MIRR) ja IRR arvutus projekti tasuvusanalüüs</t>
  </si>
  <si>
    <t>selgitus</t>
  </si>
  <si>
    <t>tarnitavate saabaste arv</t>
  </si>
  <si>
    <t>hanke pikkus aastates</t>
  </si>
  <si>
    <t>püsiv aastane tegevuskulu (ilma kulumita)</t>
  </si>
  <si>
    <t>soetatud seadmete jääkväärtus</t>
  </si>
  <si>
    <t>raamatupidamislik ja finantstasuvuslävi, ekvivalentne aastane kulu EAC</t>
  </si>
  <si>
    <t>vaadeldava projekti andmed</t>
  </si>
  <si>
    <t>müügitulu aastas</t>
  </si>
  <si>
    <t>uus masin vs kasutatud seade analüüs, kasutades NPV ning ekvivalentset annuiteeti</t>
  </si>
  <si>
    <t>raamatupidamislik tasuvuslävi</t>
  </si>
  <si>
    <t>finantstasuvuslävi</t>
  </si>
  <si>
    <t>kapitali  hind</t>
  </si>
  <si>
    <t xml:space="preserve">ekvivalentne aastane kulu </t>
  </si>
  <si>
    <t>projekti NPV</t>
  </si>
  <si>
    <t>Planeeritav müügimaht</t>
  </si>
  <si>
    <t>raamatupidamislik kasum</t>
  </si>
  <si>
    <t>finantstasuvuslävend saapapaaride arvuna</t>
  </si>
  <si>
    <t>raamatupidamislik tasuvuslävend saapapaaride arvuna</t>
  </si>
  <si>
    <t>Ehkki 16 000 paari müük ületab raamatupidamislikku tasuvusläve ja näitab positiivset raamatupidamislikku kasumit (~50 000 €/a), jääb see siiski alla finantstasuvuslävele.</t>
  </si>
  <si>
    <t>lõpuks saadakse tagasi</t>
  </si>
  <si>
    <t>võttes arvesse raha ajaväärtust (12%), ei kata prognoositav rahavoog investeeringu tegelikku kapitalikulu ega ole seetõttu finantsiliselt tasuv.</t>
  </si>
  <si>
    <t>5. Kas projeks tasuks vastu võtta?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</si>
</sst>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0\ &quot;€&quot;;[Red]\-#,##0\ &quot;€&quot;"/>
    <numFmt numFmtId="8" formatCode="#,##0.00\ &quot;€&quot;;[Red]\-#,##0.00\ &quot;€&quot;"/>
    <numFmt numFmtId="164" formatCode="0.0%"/>
    <numFmt numFmtId="165" formatCode="#,##0\ &quot;€&quot;"/>
    <numFmt numFmtId="166" formatCode="#,##0.00\ &quot;€&quot;"/>
  </numFmts>
  <fonts count="8" x14ac:knownFonts="1">
    <font>
      <sz val="11"/>
      <color theme="1"/>
      <name val="Aptos Narrow"/>
      <family val="2"/>
      <charset val="186"/>
      <scheme val="minor"/>
    </font>
    <font>
      <sz val="11"/>
      <color theme="1"/>
      <name val="Aptos Narrow"/>
      <family val="2"/>
      <charset val="186"/>
      <scheme val="minor"/>
    </font>
    <font>
      <b/>
      <sz val="11"/>
      <color theme="1"/>
      <name val="Aptos Narrow"/>
      <family val="2"/>
      <scheme val="minor"/>
    </font>
    <font>
      <b/>
      <sz val="11"/>
      <name val="Arial"/>
      <family val="2"/>
    </font>
    <font>
      <sz val="11"/>
      <name val="Aptos Narrow"/>
      <family val="2"/>
      <scheme val="minor"/>
    </font>
    <font>
      <sz val="11"/>
      <color rgb="FFFF0000"/>
      <name val="Aptos Narrow"/>
      <family val="2"/>
      <charset val="186"/>
      <scheme val="minor"/>
    </font>
    <font>
      <sz val="22"/>
      <color theme="1"/>
      <name val="Aptos Narrow"/>
      <family val="2"/>
      <charset val="186"/>
      <scheme val="minor"/>
    </font>
    <font>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s>
  <borders count="3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07">
    <xf numFmtId="0" fontId="0" fillId="0" borderId="0" xfId="0"/>
    <xf numFmtId="8" fontId="0" fillId="0" borderId="0" xfId="0" applyNumberFormat="1"/>
    <xf numFmtId="9" fontId="0" fillId="0" borderId="0" xfId="0" applyNumberFormat="1"/>
    <xf numFmtId="0" fontId="2" fillId="0" borderId="0" xfId="0" applyFont="1"/>
    <xf numFmtId="1" fontId="2" fillId="0" borderId="0" xfId="0" applyNumberFormat="1" applyFont="1"/>
    <xf numFmtId="9" fontId="0" fillId="0" borderId="7" xfId="0" applyNumberFormat="1" applyBorder="1"/>
    <xf numFmtId="0" fontId="0" fillId="0" borderId="9" xfId="0" applyBorder="1"/>
    <xf numFmtId="0" fontId="0" fillId="0" borderId="7" xfId="0" applyBorder="1"/>
    <xf numFmtId="1" fontId="0" fillId="0" borderId="9" xfId="0" applyNumberFormat="1" applyBorder="1"/>
    <xf numFmtId="0" fontId="0" fillId="4" borderId="9" xfId="0" applyFill="1" applyBorder="1"/>
    <xf numFmtId="3" fontId="0" fillId="0" borderId="9" xfId="0" applyNumberFormat="1" applyBorder="1"/>
    <xf numFmtId="8" fontId="0" fillId="0" borderId="9" xfId="0" applyNumberFormat="1" applyBorder="1"/>
    <xf numFmtId="0" fontId="4" fillId="0" borderId="9" xfId="0" applyFont="1" applyBorder="1" applyAlignment="1">
      <alignment horizontal="left" vertical="center"/>
    </xf>
    <xf numFmtId="3" fontId="4" fillId="0" borderId="9" xfId="0" applyNumberFormat="1" applyFont="1" applyBorder="1" applyAlignment="1">
      <alignment horizontal="right" vertical="center"/>
    </xf>
    <xf numFmtId="0" fontId="4" fillId="0" borderId="9" xfId="0" applyFont="1" applyBorder="1" applyAlignment="1">
      <alignment horizontal="right" vertical="center"/>
    </xf>
    <xf numFmtId="0" fontId="2" fillId="0" borderId="9" xfId="0" applyFont="1" applyBorder="1"/>
    <xf numFmtId="0" fontId="2" fillId="4" borderId="9" xfId="0" applyFont="1" applyFill="1" applyBorder="1"/>
    <xf numFmtId="0" fontId="0" fillId="0" borderId="9" xfId="0" applyBorder="1" applyAlignment="1">
      <alignment wrapText="1"/>
    </xf>
    <xf numFmtId="9" fontId="0" fillId="0" borderId="9" xfId="1" applyFont="1" applyBorder="1"/>
    <xf numFmtId="9" fontId="0" fillId="0" borderId="9" xfId="0" applyNumberFormat="1" applyBorder="1"/>
    <xf numFmtId="8" fontId="0" fillId="0" borderId="22" xfId="0" applyNumberFormat="1" applyBorder="1"/>
    <xf numFmtId="8" fontId="0" fillId="0" borderId="21" xfId="0" applyNumberFormat="1" applyBorder="1"/>
    <xf numFmtId="8" fontId="0" fillId="0" borderId="10" xfId="0" applyNumberFormat="1" applyBorder="1"/>
    <xf numFmtId="0" fontId="0" fillId="0" borderId="11" xfId="0" applyBorder="1"/>
    <xf numFmtId="8" fontId="0" fillId="4" borderId="9" xfId="0" applyNumberFormat="1" applyFill="1" applyBorder="1" applyAlignment="1">
      <alignment wrapText="1"/>
    </xf>
    <xf numFmtId="8" fontId="0" fillId="0" borderId="23" xfId="0" applyNumberFormat="1" applyBorder="1"/>
    <xf numFmtId="3" fontId="2" fillId="0" borderId="9" xfId="0" applyNumberFormat="1" applyFont="1" applyBorder="1"/>
    <xf numFmtId="8" fontId="2" fillId="0" borderId="9" xfId="0" applyNumberFormat="1" applyFont="1" applyBorder="1"/>
    <xf numFmtId="8" fontId="0" fillId="2" borderId="12" xfId="0" applyNumberFormat="1" applyFill="1" applyBorder="1"/>
    <xf numFmtId="3" fontId="5" fillId="0" borderId="9" xfId="0" applyNumberFormat="1" applyFont="1" applyBorder="1"/>
    <xf numFmtId="3" fontId="5" fillId="0" borderId="11" xfId="0" applyNumberFormat="1" applyFont="1" applyBorder="1"/>
    <xf numFmtId="3" fontId="5" fillId="0" borderId="10" xfId="0" applyNumberFormat="1" applyFont="1" applyBorder="1"/>
    <xf numFmtId="3" fontId="5" fillId="0" borderId="21" xfId="0" applyNumberFormat="1" applyFont="1" applyBorder="1"/>
    <xf numFmtId="0" fontId="0" fillId="0" borderId="10" xfId="0" applyBorder="1"/>
    <xf numFmtId="0" fontId="0" fillId="0" borderId="12" xfId="0" applyBorder="1"/>
    <xf numFmtId="2" fontId="0" fillId="0" borderId="0" xfId="0" applyNumberFormat="1"/>
    <xf numFmtId="0" fontId="0" fillId="4" borderId="27" xfId="0" applyFill="1" applyBorder="1"/>
    <xf numFmtId="3" fontId="0" fillId="0" borderId="28" xfId="0" applyNumberFormat="1" applyBorder="1"/>
    <xf numFmtId="0" fontId="0" fillId="4" borderId="29" xfId="0" applyFill="1" applyBorder="1"/>
    <xf numFmtId="164" fontId="0" fillId="0" borderId="30" xfId="0" applyNumberFormat="1" applyBorder="1"/>
    <xf numFmtId="10" fontId="0" fillId="0" borderId="9" xfId="0" applyNumberFormat="1" applyBorder="1"/>
    <xf numFmtId="0" fontId="0" fillId="5" borderId="9" xfId="0" applyFill="1" applyBorder="1"/>
    <xf numFmtId="6" fontId="0" fillId="0" borderId="9" xfId="0" applyNumberFormat="1" applyBorder="1"/>
    <xf numFmtId="165" fontId="0" fillId="0" borderId="9" xfId="0" applyNumberFormat="1" applyBorder="1"/>
    <xf numFmtId="165" fontId="2" fillId="0" borderId="9" xfId="0" applyNumberFormat="1" applyFont="1" applyBorder="1"/>
    <xf numFmtId="0" fontId="0" fillId="4" borderId="9" xfId="0" applyFill="1" applyBorder="1" applyAlignment="1">
      <alignment horizontal="center"/>
    </xf>
    <xf numFmtId="0" fontId="0" fillId="4" borderId="9" xfId="0" applyFill="1" applyBorder="1" applyAlignment="1">
      <alignment wrapText="1"/>
    </xf>
    <xf numFmtId="0" fontId="4" fillId="0" borderId="9" xfId="0" applyFont="1" applyBorder="1" applyAlignment="1">
      <alignment horizontal="left" vertical="center" wrapText="1"/>
    </xf>
    <xf numFmtId="0" fontId="0" fillId="0" borderId="0" xfId="0" quotePrefix="1"/>
    <xf numFmtId="2" fontId="0" fillId="0" borderId="9" xfId="0" applyNumberFormat="1" applyBorder="1"/>
    <xf numFmtId="0" fontId="2" fillId="0" borderId="9" xfId="0" quotePrefix="1" applyFont="1" applyBorder="1" applyAlignment="1">
      <alignment wrapText="1"/>
    </xf>
    <xf numFmtId="0" fontId="0" fillId="6" borderId="12" xfId="0" applyFill="1" applyBorder="1"/>
    <xf numFmtId="8" fontId="2" fillId="5" borderId="9" xfId="0" applyNumberFormat="1" applyFont="1" applyFill="1" applyBorder="1"/>
    <xf numFmtId="2" fontId="2" fillId="5" borderId="9" xfId="0" applyNumberFormat="1" applyFont="1" applyFill="1" applyBorder="1"/>
    <xf numFmtId="2" fontId="2" fillId="7" borderId="9" xfId="0" applyNumberFormat="1" applyFont="1" applyFill="1" applyBorder="1"/>
    <xf numFmtId="0" fontId="0" fillId="0" borderId="2" xfId="0" applyBorder="1"/>
    <xf numFmtId="1" fontId="0" fillId="0" borderId="0" xfId="0" applyNumberFormat="1"/>
    <xf numFmtId="0" fontId="0" fillId="5" borderId="1" xfId="0" applyFill="1" applyBorder="1"/>
    <xf numFmtId="0" fontId="0" fillId="5" borderId="2" xfId="0" applyFill="1" applyBorder="1"/>
    <xf numFmtId="0" fontId="0" fillId="5" borderId="3" xfId="0" applyFill="1" applyBorder="1"/>
    <xf numFmtId="0" fontId="0" fillId="5" borderId="4" xfId="0" applyFill="1" applyBorder="1"/>
    <xf numFmtId="0" fontId="0" fillId="5" borderId="0" xfId="0" applyFill="1"/>
    <xf numFmtId="0" fontId="0" fillId="5" borderId="5" xfId="0" applyFill="1" applyBorder="1"/>
    <xf numFmtId="0" fontId="0" fillId="5" borderId="6" xfId="0" applyFill="1" applyBorder="1"/>
    <xf numFmtId="0" fontId="0" fillId="5" borderId="7" xfId="0" applyFill="1" applyBorder="1"/>
    <xf numFmtId="0" fontId="0" fillId="5" borderId="8" xfId="0" applyFill="1" applyBorder="1"/>
    <xf numFmtId="0" fontId="6" fillId="0" borderId="0" xfId="0" applyFont="1" applyAlignment="1">
      <alignment wrapText="1"/>
    </xf>
    <xf numFmtId="166" fontId="0" fillId="0" borderId="9" xfId="0" applyNumberFormat="1" applyBorder="1"/>
    <xf numFmtId="8" fontId="2" fillId="3" borderId="9" xfId="0" applyNumberFormat="1" applyFont="1" applyFill="1" applyBorder="1" applyAlignment="1">
      <alignment wrapText="1"/>
    </xf>
    <xf numFmtId="0" fontId="2" fillId="3" borderId="9" xfId="0" applyFont="1" applyFill="1" applyBorder="1"/>
    <xf numFmtId="2" fontId="2" fillId="3" borderId="9" xfId="0" applyNumberFormat="1" applyFont="1" applyFill="1" applyBorder="1"/>
    <xf numFmtId="0" fontId="2" fillId="3" borderId="9" xfId="0" applyFont="1" applyFill="1" applyBorder="1" applyAlignment="1">
      <alignment wrapText="1"/>
    </xf>
    <xf numFmtId="0" fontId="0" fillId="0" borderId="9" xfId="0" applyBorder="1" applyAlignment="1">
      <alignment vertical="center"/>
    </xf>
    <xf numFmtId="0" fontId="0" fillId="0" borderId="11" xfId="0" applyBorder="1" applyAlignment="1">
      <alignment vertical="center"/>
    </xf>
    <xf numFmtId="0" fontId="7" fillId="0" borderId="9" xfId="0" applyFont="1" applyBorder="1" applyAlignment="1">
      <alignment vertical="center" wrapText="1"/>
    </xf>
    <xf numFmtId="0" fontId="2" fillId="0" borderId="7" xfId="0" applyFont="1" applyBorder="1" applyAlignment="1">
      <alignment horizontal="center" vertical="center"/>
    </xf>
    <xf numFmtId="0" fontId="6" fillId="0" borderId="13" xfId="0" applyFont="1" applyBorder="1" applyAlignment="1">
      <alignment horizontal="center" wrapText="1"/>
    </xf>
    <xf numFmtId="0" fontId="6" fillId="0" borderId="14" xfId="0" applyFont="1" applyBorder="1" applyAlignment="1">
      <alignment horizontal="center" wrapText="1"/>
    </xf>
    <xf numFmtId="0" fontId="6" fillId="0" borderId="15" xfId="0" applyFont="1" applyBorder="1" applyAlignment="1">
      <alignment horizontal="center" wrapText="1"/>
    </xf>
    <xf numFmtId="0" fontId="6" fillId="0" borderId="16" xfId="0" applyFont="1" applyBorder="1" applyAlignment="1">
      <alignment horizontal="center" wrapText="1"/>
    </xf>
    <xf numFmtId="0" fontId="6" fillId="0" borderId="0" xfId="0" applyFont="1" applyAlignment="1">
      <alignment horizontal="center" wrapText="1"/>
    </xf>
    <xf numFmtId="0" fontId="6" fillId="0" borderId="17" xfId="0" applyFont="1" applyBorder="1" applyAlignment="1">
      <alignment horizontal="center" wrapText="1"/>
    </xf>
    <xf numFmtId="0" fontId="6" fillId="0" borderId="18" xfId="0" applyFont="1" applyBorder="1" applyAlignment="1">
      <alignment horizontal="center" wrapText="1"/>
    </xf>
    <xf numFmtId="0" fontId="6" fillId="0" borderId="19" xfId="0" applyFont="1" applyBorder="1" applyAlignment="1">
      <alignment horizontal="center" wrapText="1"/>
    </xf>
    <xf numFmtId="0" fontId="6" fillId="0" borderId="20" xfId="0" applyFont="1" applyBorder="1" applyAlignment="1">
      <alignment horizontal="center" wrapText="1"/>
    </xf>
    <xf numFmtId="0" fontId="2" fillId="4" borderId="9" xfId="0" applyFont="1" applyFill="1" applyBorder="1" applyAlignment="1">
      <alignment horizontal="center"/>
    </xf>
    <xf numFmtId="0" fontId="2" fillId="0" borderId="7" xfId="0" applyFont="1" applyBorder="1" applyAlignment="1">
      <alignment horizontal="center"/>
    </xf>
    <xf numFmtId="0" fontId="3" fillId="4" borderId="9" xfId="0" applyFont="1" applyFill="1" applyBorder="1" applyAlignment="1">
      <alignment horizontal="center" vertical="center"/>
    </xf>
    <xf numFmtId="0" fontId="0" fillId="4" borderId="9" xfId="0" applyFill="1" applyBorder="1"/>
    <xf numFmtId="0" fontId="4" fillId="0" borderId="10" xfId="0" applyFont="1" applyBorder="1" applyAlignment="1">
      <alignment horizontal="left" vertical="center"/>
    </xf>
    <xf numFmtId="0" fontId="4" fillId="0" borderId="11" xfId="0" applyFont="1" applyBorder="1" applyAlignment="1">
      <alignment horizontal="left" vertical="center"/>
    </xf>
    <xf numFmtId="3" fontId="4" fillId="0" borderId="10" xfId="0" applyNumberFormat="1" applyFont="1" applyBorder="1" applyAlignment="1">
      <alignment horizontal="right" vertical="center"/>
    </xf>
    <xf numFmtId="3" fontId="4" fillId="0" borderId="11" xfId="0" applyNumberFormat="1" applyFont="1" applyBorder="1" applyAlignment="1">
      <alignment horizontal="right" vertical="center"/>
    </xf>
    <xf numFmtId="0" fontId="0" fillId="4" borderId="9" xfId="0" applyFill="1" applyBorder="1" applyAlignment="1">
      <alignment horizontal="center"/>
    </xf>
    <xf numFmtId="0" fontId="2" fillId="4" borderId="22" xfId="0" applyFont="1" applyFill="1" applyBorder="1" applyAlignment="1">
      <alignment horizontal="center"/>
    </xf>
    <xf numFmtId="0" fontId="2" fillId="4" borderId="24" xfId="0" applyFont="1" applyFill="1" applyBorder="1" applyAlignment="1">
      <alignment horizontal="center"/>
    </xf>
    <xf numFmtId="0" fontId="2" fillId="4" borderId="21" xfId="0" applyFont="1" applyFill="1" applyBorder="1" applyAlignment="1">
      <alignment horizontal="center"/>
    </xf>
    <xf numFmtId="0" fontId="2" fillId="4" borderId="25" xfId="0" applyFont="1" applyFill="1" applyBorder="1" applyAlignment="1">
      <alignment horizontal="center"/>
    </xf>
    <xf numFmtId="0" fontId="2" fillId="4" borderId="26" xfId="0" applyFont="1" applyFill="1" applyBorder="1" applyAlignment="1">
      <alignment horizontal="center"/>
    </xf>
    <xf numFmtId="0" fontId="6" fillId="0" borderId="1" xfId="0" applyFont="1" applyBorder="1" applyAlignment="1">
      <alignment horizontal="center" wrapText="1"/>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1551215</xdr:colOff>
      <xdr:row>98</xdr:row>
      <xdr:rowOff>151155</xdr:rowOff>
    </xdr:from>
    <xdr:to>
      <xdr:col>8</xdr:col>
      <xdr:colOff>566104</xdr:colOff>
      <xdr:row>101</xdr:row>
      <xdr:rowOff>121116</xdr:rowOff>
    </xdr:to>
    <xdr:pic>
      <xdr:nvPicPr>
        <xdr:cNvPr id="2" name="Picture 1">
          <a:extLst>
            <a:ext uri="{FF2B5EF4-FFF2-40B4-BE49-F238E27FC236}">
              <a16:creationId xmlns:a16="http://schemas.microsoft.com/office/drawing/2014/main" id="{D65FF668-0AE3-2694-686A-88582C8B511B}"/>
            </a:ext>
          </a:extLst>
        </xdr:cNvPr>
        <xdr:cNvPicPr>
          <a:picLocks noChangeAspect="1"/>
        </xdr:cNvPicPr>
      </xdr:nvPicPr>
      <xdr:blipFill>
        <a:blip xmlns:r="http://schemas.openxmlformats.org/officeDocument/2006/relationships" r:embed="rId1"/>
        <a:stretch>
          <a:fillRect/>
        </a:stretch>
      </xdr:blipFill>
      <xdr:spPr>
        <a:xfrm>
          <a:off x="6912429" y="20008512"/>
          <a:ext cx="5588000" cy="532390"/>
        </a:xfrm>
        <a:prstGeom prst="rect">
          <a:avLst/>
        </a:prstGeom>
      </xdr:spPr>
    </xdr:pic>
    <xdr:clientData/>
  </xdr:twoCellAnchor>
  <xdr:oneCellAnchor>
    <xdr:from>
      <xdr:col>4</xdr:col>
      <xdr:colOff>817294</xdr:colOff>
      <xdr:row>126</xdr:row>
      <xdr:rowOff>31693</xdr:rowOff>
    </xdr:from>
    <xdr:ext cx="2666692" cy="32028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FC9EE85-A21D-B3EA-7892-45A1DD9F8FBB}"/>
                </a:ext>
              </a:extLst>
            </xdr:cNvPr>
            <xdr:cNvSpPr txBox="1"/>
          </xdr:nvSpPr>
          <xdr:spPr>
            <a:xfrm>
              <a:off x="7749471" y="25413711"/>
              <a:ext cx="2666692"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f>
                      <m:fPr>
                        <m:ctrlPr>
                          <a:rPr lang="et-EE" sz="1100" b="0" i="1">
                            <a:latin typeface="Cambria Math" panose="02040503050406030204" pitchFamily="18" charset="0"/>
                          </a:rPr>
                        </m:ctrlPr>
                      </m:fPr>
                      <m:num>
                        <m:r>
                          <a:rPr lang="et-EE" sz="1100" b="0" i="1">
                            <a:latin typeface="Cambria Math" panose="02040503050406030204" pitchFamily="18" charset="0"/>
                          </a:rPr>
                          <m:t>𝑝</m:t>
                        </m:r>
                        <m:r>
                          <a:rPr lang="et-EE" sz="1100" b="0" i="1">
                            <a:latin typeface="Cambria Math" panose="02040503050406030204" pitchFamily="18" charset="0"/>
                          </a:rPr>
                          <m:t>ü</m:t>
                        </m:r>
                        <m:r>
                          <a:rPr lang="et-EE" sz="1100" b="0" i="1">
                            <a:latin typeface="Cambria Math" panose="02040503050406030204" pitchFamily="18" charset="0"/>
                          </a:rPr>
                          <m:t>𝑠𝑖𝑣𝑎𝑑</m:t>
                        </m:r>
                        <m:r>
                          <a:rPr lang="et-EE" sz="1100" b="0" i="1">
                            <a:latin typeface="Cambria Math" panose="02040503050406030204" pitchFamily="18" charset="0"/>
                          </a:rPr>
                          <m:t> </m:t>
                        </m:r>
                        <m:r>
                          <a:rPr lang="et-EE" sz="1100" b="0" i="1">
                            <a:latin typeface="Cambria Math" panose="02040503050406030204" pitchFamily="18" charset="0"/>
                          </a:rPr>
                          <m:t>𝑡𝑒𝑔𝑒𝑣𝑢𝑠𝑘𝑢𝑙𝑢𝑑</m:t>
                        </m:r>
                        <m:r>
                          <a:rPr lang="et-EE" sz="1100" b="0" i="1">
                            <a:latin typeface="Cambria Math" panose="02040503050406030204" pitchFamily="18" charset="0"/>
                          </a:rPr>
                          <m:t>+</m:t>
                        </m:r>
                        <m:r>
                          <a:rPr lang="et-EE" sz="1100" b="0" i="1">
                            <a:latin typeface="Cambria Math" panose="02040503050406030204" pitchFamily="18" charset="0"/>
                          </a:rPr>
                          <m:t>𝑎𝑚𝑜𝑟𝑡𝑖𝑠𝑎𝑡𝑠𝑖𝑜𝑜𝑛</m:t>
                        </m:r>
                      </m:num>
                      <m:den>
                        <m:r>
                          <a:rPr lang="et-EE" sz="1100" b="0" i="1">
                            <a:latin typeface="Cambria Math" panose="02040503050406030204" pitchFamily="18" charset="0"/>
                          </a:rPr>
                          <m:t>𝑡𝑜𝑜𝑡𝑒</m:t>
                        </m:r>
                        <m:r>
                          <a:rPr lang="et-EE" sz="1100" b="0" i="1">
                            <a:latin typeface="Cambria Math" panose="02040503050406030204" pitchFamily="18" charset="0"/>
                          </a:rPr>
                          <m:t> </m:t>
                        </m:r>
                        <m:r>
                          <a:rPr lang="et-EE" sz="1100" b="0" i="1">
                            <a:latin typeface="Cambria Math" panose="02040503050406030204" pitchFamily="18" charset="0"/>
                          </a:rPr>
                          <m:t>ℎ𝑖𝑛𝑑</m:t>
                        </m:r>
                        <m:r>
                          <a:rPr lang="et-EE" sz="1100" b="0" i="1">
                            <a:latin typeface="Cambria Math" panose="02040503050406030204" pitchFamily="18" charset="0"/>
                          </a:rPr>
                          <m:t> −</m:t>
                        </m:r>
                        <m:r>
                          <a:rPr lang="et-EE" sz="1100" b="0" i="1">
                            <a:latin typeface="Cambria Math" panose="02040503050406030204" pitchFamily="18" charset="0"/>
                          </a:rPr>
                          <m:t>𝑚𝑢𝑢𝑡𝑢𝑣𝑘𝑢𝑙𝑢𝑑</m:t>
                        </m:r>
                      </m:den>
                    </m:f>
                  </m:oMath>
                </m:oMathPara>
              </a14:m>
              <a:endParaRPr lang="et-EE" sz="1100"/>
            </a:p>
          </xdr:txBody>
        </xdr:sp>
      </mc:Choice>
      <mc:Fallback xmlns="">
        <xdr:sp macro="" textlink="">
          <xdr:nvSpPr>
            <xdr:cNvPr id="6" name="TextBox 5">
              <a:extLst>
                <a:ext uri="{FF2B5EF4-FFF2-40B4-BE49-F238E27FC236}">
                  <a16:creationId xmlns:a16="http://schemas.microsoft.com/office/drawing/2014/main" id="{EFC9EE85-A21D-B3EA-7892-45A1DD9F8FBB}"/>
                </a:ext>
              </a:extLst>
            </xdr:cNvPr>
            <xdr:cNvSpPr txBox="1"/>
          </xdr:nvSpPr>
          <xdr:spPr>
            <a:xfrm>
              <a:off x="7749471" y="25413711"/>
              <a:ext cx="2666692" cy="320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t-EE" sz="1100" b="0" i="0">
                  <a:latin typeface="Cambria Math" panose="02040503050406030204" pitchFamily="18" charset="0"/>
                </a:rPr>
                <a:t>(𝑝ü𝑠𝑖𝑣𝑎𝑑 𝑡𝑒𝑔𝑒𝑣𝑢𝑠𝑘𝑢𝑙𝑢𝑑+𝑎𝑚𝑜𝑟𝑡𝑖𝑠𝑎𝑡𝑠𝑖𝑜𝑜𝑛)/(𝑡𝑜𝑜𝑡𝑒 ℎ𝑖𝑛𝑑 −𝑚𝑢𝑢𝑡𝑢𝑣𝑘𝑢𝑙𝑢𝑑)</a:t>
              </a:r>
              <a:endParaRPr lang="et-EE" sz="1100"/>
            </a:p>
          </xdr:txBody>
        </xdr:sp>
      </mc:Fallback>
    </mc:AlternateContent>
    <xdr:clientData/>
  </xdr:oneCellAnchor>
  <xdr:oneCellAnchor>
    <xdr:from>
      <xdr:col>4</xdr:col>
      <xdr:colOff>522768</xdr:colOff>
      <xdr:row>130</xdr:row>
      <xdr:rowOff>31694</xdr:rowOff>
    </xdr:from>
    <xdr:ext cx="3384697" cy="321435"/>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020F523-B04D-FEE0-5366-E6E654261A8C}"/>
                </a:ext>
              </a:extLst>
            </xdr:cNvPr>
            <xdr:cNvSpPr txBox="1"/>
          </xdr:nvSpPr>
          <xdr:spPr>
            <a:xfrm>
              <a:off x="7442791" y="26294113"/>
              <a:ext cx="3384697"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f>
                      <m:fPr>
                        <m:ctrlPr>
                          <a:rPr lang="et-EE" sz="1100" b="0" i="1">
                            <a:solidFill>
                              <a:schemeClr val="tx1"/>
                            </a:solidFill>
                            <a:effectLst/>
                            <a:latin typeface="Cambria Math" panose="02040503050406030204" pitchFamily="18" charset="0"/>
                            <a:ea typeface="+mn-ea"/>
                            <a:cs typeface="+mn-cs"/>
                          </a:rPr>
                        </m:ctrlPr>
                      </m:fPr>
                      <m:num>
                        <m:r>
                          <a:rPr lang="et-EE" sz="1100" b="0" i="1">
                            <a:solidFill>
                              <a:schemeClr val="tx1"/>
                            </a:solidFill>
                            <a:effectLst/>
                            <a:latin typeface="Cambria Math" panose="02040503050406030204" pitchFamily="18" charset="0"/>
                            <a:ea typeface="+mn-ea"/>
                            <a:cs typeface="+mn-cs"/>
                          </a:rPr>
                          <m:t>𝑝</m:t>
                        </m:r>
                        <m:r>
                          <a:rPr lang="et-EE" sz="1100" b="0" i="1">
                            <a:solidFill>
                              <a:schemeClr val="tx1"/>
                            </a:solidFill>
                            <a:effectLst/>
                            <a:latin typeface="Cambria Math" panose="02040503050406030204" pitchFamily="18" charset="0"/>
                            <a:ea typeface="+mn-ea"/>
                            <a:cs typeface="+mn-cs"/>
                          </a:rPr>
                          <m:t>ü</m:t>
                        </m:r>
                        <m:r>
                          <a:rPr lang="et-EE" sz="1100" b="0" i="1">
                            <a:solidFill>
                              <a:schemeClr val="tx1"/>
                            </a:solidFill>
                            <a:effectLst/>
                            <a:latin typeface="Cambria Math" panose="02040503050406030204" pitchFamily="18" charset="0"/>
                            <a:ea typeface="+mn-ea"/>
                            <a:cs typeface="+mn-cs"/>
                          </a:rPr>
                          <m:t>𝑠𝑖𝑣𝑎𝑑</m:t>
                        </m:r>
                        <m:r>
                          <a:rPr lang="et-EE" sz="1100" b="0" i="1">
                            <a:solidFill>
                              <a:schemeClr val="tx1"/>
                            </a:solidFill>
                            <a:effectLst/>
                            <a:latin typeface="Cambria Math" panose="02040503050406030204" pitchFamily="18" charset="0"/>
                            <a:ea typeface="+mn-ea"/>
                            <a:cs typeface="+mn-cs"/>
                          </a:rPr>
                          <m:t> </m:t>
                        </m:r>
                        <m:r>
                          <a:rPr lang="et-EE" sz="1100" b="0" i="1">
                            <a:solidFill>
                              <a:schemeClr val="tx1"/>
                            </a:solidFill>
                            <a:effectLst/>
                            <a:latin typeface="Cambria Math" panose="02040503050406030204" pitchFamily="18" charset="0"/>
                            <a:ea typeface="+mn-ea"/>
                            <a:cs typeface="+mn-cs"/>
                          </a:rPr>
                          <m:t>𝑡𝑒𝑔𝑒𝑣𝑢𝑠𝑘𝑢𝑙𝑢𝑑</m:t>
                        </m:r>
                        <m:r>
                          <a:rPr lang="et-EE" sz="1100" b="0" i="1">
                            <a:solidFill>
                              <a:schemeClr val="tx1"/>
                            </a:solidFill>
                            <a:effectLst/>
                            <a:latin typeface="Cambria Math" panose="02040503050406030204" pitchFamily="18" charset="0"/>
                            <a:ea typeface="+mn-ea"/>
                            <a:cs typeface="+mn-cs"/>
                          </a:rPr>
                          <m:t>+</m:t>
                        </m:r>
                        <m:r>
                          <a:rPr lang="et-EE" sz="1100" b="0" i="1">
                            <a:solidFill>
                              <a:schemeClr val="tx1"/>
                            </a:solidFill>
                            <a:effectLst/>
                            <a:latin typeface="Cambria Math" panose="02040503050406030204" pitchFamily="18" charset="0"/>
                            <a:ea typeface="+mn-ea"/>
                            <a:cs typeface="+mn-cs"/>
                          </a:rPr>
                          <m:t>𝐸𝐴𝐶</m:t>
                        </m:r>
                      </m:num>
                      <m:den>
                        <m:r>
                          <a:rPr lang="et-EE" sz="1100" b="0" i="1">
                            <a:solidFill>
                              <a:schemeClr val="tx1"/>
                            </a:solidFill>
                            <a:effectLst/>
                            <a:latin typeface="Cambria Math" panose="02040503050406030204" pitchFamily="18" charset="0"/>
                            <a:ea typeface="+mn-ea"/>
                            <a:cs typeface="+mn-cs"/>
                          </a:rPr>
                          <m:t>𝑡𝑜𝑜𝑡𝑒</m:t>
                        </m:r>
                        <m:r>
                          <a:rPr lang="et-EE" sz="1100" b="0" i="1">
                            <a:solidFill>
                              <a:schemeClr val="tx1"/>
                            </a:solidFill>
                            <a:effectLst/>
                            <a:latin typeface="Cambria Math" panose="02040503050406030204" pitchFamily="18" charset="0"/>
                            <a:ea typeface="+mn-ea"/>
                            <a:cs typeface="+mn-cs"/>
                          </a:rPr>
                          <m:t> </m:t>
                        </m:r>
                        <m:r>
                          <a:rPr lang="et-EE" sz="1100" b="0" i="1">
                            <a:solidFill>
                              <a:schemeClr val="tx1"/>
                            </a:solidFill>
                            <a:effectLst/>
                            <a:latin typeface="Cambria Math" panose="02040503050406030204" pitchFamily="18" charset="0"/>
                            <a:ea typeface="+mn-ea"/>
                            <a:cs typeface="+mn-cs"/>
                          </a:rPr>
                          <m:t>ℎ𝑖𝑛𝑑</m:t>
                        </m:r>
                        <m:r>
                          <a:rPr lang="et-EE" sz="1100" b="0" i="1">
                            <a:solidFill>
                              <a:schemeClr val="tx1"/>
                            </a:solidFill>
                            <a:effectLst/>
                            <a:latin typeface="Cambria Math" panose="02040503050406030204" pitchFamily="18" charset="0"/>
                            <a:ea typeface="+mn-ea"/>
                            <a:cs typeface="+mn-cs"/>
                          </a:rPr>
                          <m:t> −</m:t>
                        </m:r>
                        <m:r>
                          <a:rPr lang="et-EE" sz="1100" b="0" i="1">
                            <a:solidFill>
                              <a:schemeClr val="tx1"/>
                            </a:solidFill>
                            <a:effectLst/>
                            <a:latin typeface="Cambria Math" panose="02040503050406030204" pitchFamily="18" charset="0"/>
                            <a:ea typeface="+mn-ea"/>
                            <a:cs typeface="+mn-cs"/>
                          </a:rPr>
                          <m:t>𝑚𝑢𝑢𝑡𝑢𝑣𝑘𝑢𝑙𝑢𝑑</m:t>
                        </m:r>
                      </m:den>
                    </m:f>
                  </m:oMath>
                </m:oMathPara>
              </a14:m>
              <a:endParaRPr lang="et-EE" sz="1100"/>
            </a:p>
          </xdr:txBody>
        </xdr:sp>
      </mc:Choice>
      <mc:Fallback xmlns="">
        <xdr:sp macro="" textlink="">
          <xdr:nvSpPr>
            <xdr:cNvPr id="8" name="TextBox 7">
              <a:extLst>
                <a:ext uri="{FF2B5EF4-FFF2-40B4-BE49-F238E27FC236}">
                  <a16:creationId xmlns:a16="http://schemas.microsoft.com/office/drawing/2014/main" id="{6020F523-B04D-FEE0-5366-E6E654261A8C}"/>
                </a:ext>
              </a:extLst>
            </xdr:cNvPr>
            <xdr:cNvSpPr txBox="1"/>
          </xdr:nvSpPr>
          <xdr:spPr>
            <a:xfrm>
              <a:off x="7442791" y="26294113"/>
              <a:ext cx="3384697" cy="321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t-EE" sz="1100" b="0" i="0">
                  <a:solidFill>
                    <a:schemeClr val="tx1"/>
                  </a:solidFill>
                  <a:effectLst/>
                  <a:latin typeface="Cambria Math" panose="02040503050406030204" pitchFamily="18" charset="0"/>
                  <a:ea typeface="+mn-ea"/>
                  <a:cs typeface="+mn-cs"/>
                </a:rPr>
                <a:t>(𝑝ü𝑠𝑖𝑣𝑎𝑑 𝑡𝑒𝑔𝑒𝑣𝑢𝑠𝑘𝑢𝑙𝑢𝑑+𝐸𝐴𝐶)/(𝑡𝑜𝑜𝑡𝑒 ℎ𝑖𝑛𝑑 −𝑚𝑢𝑢𝑡𝑢𝑣𝑘𝑢𝑙𝑢𝑑)</a:t>
              </a:r>
              <a:endParaRPr lang="et-EE" sz="1100"/>
            </a:p>
          </xdr:txBody>
        </xdr:sp>
      </mc:Fallback>
    </mc:AlternateContent>
    <xdr:clientData/>
  </xdr:oneCellAnchor>
  <xdr:twoCellAnchor editAs="oneCell">
    <xdr:from>
      <xdr:col>3</xdr:col>
      <xdr:colOff>1503999</xdr:colOff>
      <xdr:row>130</xdr:row>
      <xdr:rowOff>57997</xdr:rowOff>
    </xdr:from>
    <xdr:to>
      <xdr:col>4</xdr:col>
      <xdr:colOff>749544</xdr:colOff>
      <xdr:row>131</xdr:row>
      <xdr:rowOff>143873</xdr:rowOff>
    </xdr:to>
    <xdr:pic>
      <xdr:nvPicPr>
        <xdr:cNvPr id="9" name="Picture 8">
          <a:extLst>
            <a:ext uri="{FF2B5EF4-FFF2-40B4-BE49-F238E27FC236}">
              <a16:creationId xmlns:a16="http://schemas.microsoft.com/office/drawing/2014/main" id="{4061C595-C4C8-44B3-121F-46D53AF2D928}"/>
            </a:ext>
          </a:extLst>
        </xdr:cNvPr>
        <xdr:cNvPicPr>
          <a:picLocks noChangeAspect="1"/>
        </xdr:cNvPicPr>
      </xdr:nvPicPr>
      <xdr:blipFill>
        <a:blip xmlns:r="http://schemas.openxmlformats.org/officeDocument/2006/relationships" r:embed="rId2"/>
        <a:stretch>
          <a:fillRect/>
        </a:stretch>
      </xdr:blipFill>
      <xdr:spPr>
        <a:xfrm>
          <a:off x="6864580" y="26320416"/>
          <a:ext cx="804987" cy="271945"/>
        </a:xfrm>
        <a:prstGeom prst="rect">
          <a:avLst/>
        </a:prstGeom>
      </xdr:spPr>
    </xdr:pic>
    <xdr:clientData/>
  </xdr:twoCellAnchor>
  <xdr:twoCellAnchor editAs="oneCell">
    <xdr:from>
      <xdr:col>3</xdr:col>
      <xdr:colOff>1471188</xdr:colOff>
      <xdr:row>126</xdr:row>
      <xdr:rowOff>39219</xdr:rowOff>
    </xdr:from>
    <xdr:to>
      <xdr:col>4</xdr:col>
      <xdr:colOff>467762</xdr:colOff>
      <xdr:row>128</xdr:row>
      <xdr:rowOff>8072</xdr:rowOff>
    </xdr:to>
    <xdr:pic>
      <xdr:nvPicPr>
        <xdr:cNvPr id="10" name="Picture 9">
          <a:extLst>
            <a:ext uri="{FF2B5EF4-FFF2-40B4-BE49-F238E27FC236}">
              <a16:creationId xmlns:a16="http://schemas.microsoft.com/office/drawing/2014/main" id="{34D986F4-4AC8-B06C-B401-99870E692EE1}"/>
            </a:ext>
          </a:extLst>
        </xdr:cNvPr>
        <xdr:cNvPicPr>
          <a:picLocks noChangeAspect="1"/>
        </xdr:cNvPicPr>
      </xdr:nvPicPr>
      <xdr:blipFill>
        <a:blip xmlns:r="http://schemas.openxmlformats.org/officeDocument/2006/relationships" r:embed="rId3"/>
        <a:stretch>
          <a:fillRect/>
        </a:stretch>
      </xdr:blipFill>
      <xdr:spPr>
        <a:xfrm>
          <a:off x="6839055" y="25862552"/>
          <a:ext cx="554440" cy="341386"/>
        </a:xfrm>
        <a:prstGeom prst="rect">
          <a:avLst/>
        </a:prstGeom>
      </xdr:spPr>
    </xdr:pic>
    <xdr:clientData/>
  </xdr:twoCellAnchor>
  <xdr:oneCellAnchor>
    <xdr:from>
      <xdr:col>4</xdr:col>
      <xdr:colOff>573386</xdr:colOff>
      <xdr:row>135</xdr:row>
      <xdr:rowOff>33198</xdr:rowOff>
    </xdr:from>
    <xdr:ext cx="3236613" cy="54773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31C3E3B-08EF-A6AE-4D31-98F5D946BBCD}"/>
                </a:ext>
              </a:extLst>
            </xdr:cNvPr>
            <xdr:cNvSpPr txBox="1"/>
          </xdr:nvSpPr>
          <xdr:spPr>
            <a:xfrm>
              <a:off x="12508871" y="25480980"/>
              <a:ext cx="3236613" cy="5477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
                    <m:f>
                      <m:fPr>
                        <m:ctrlPr>
                          <a:rPr lang="et-EE" sz="1100" b="0" i="1">
                            <a:latin typeface="Cambria Math" panose="02040503050406030204" pitchFamily="18" charset="0"/>
                          </a:rPr>
                        </m:ctrlPr>
                      </m:fPr>
                      <m:num>
                        <m:r>
                          <a:rPr lang="et-EE" sz="1100" b="0" i="1">
                            <a:latin typeface="Cambria Math" panose="02040503050406030204" pitchFamily="18" charset="0"/>
                          </a:rPr>
                          <m:t>𝑖𝑛𝑣𝑒𝑠𝑡𝑒𝑒𝑟𝑖𝑛𝑔</m:t>
                        </m:r>
                      </m:num>
                      <m:den>
                        <m:f>
                          <m:fPr>
                            <m:ctrlPr>
                              <a:rPr lang="et-EE" sz="1100" b="0" i="1">
                                <a:latin typeface="Cambria Math" panose="02040503050406030204" pitchFamily="18" charset="0"/>
                              </a:rPr>
                            </m:ctrlPr>
                          </m:fPr>
                          <m:num>
                            <m:r>
                              <a:rPr lang="et-EE" sz="1100" b="0" i="1">
                                <a:latin typeface="Cambria Math" panose="02040503050406030204" pitchFamily="18" charset="0"/>
                              </a:rPr>
                              <m:t>1</m:t>
                            </m:r>
                          </m:num>
                          <m:den>
                            <m:r>
                              <a:rPr lang="et-EE" sz="1100" b="0" i="1">
                                <a:latin typeface="Cambria Math" panose="02040503050406030204" pitchFamily="18" charset="0"/>
                              </a:rPr>
                              <m:t>𝑘𝑎𝑝𝑖𝑡𝑎𝑙𝑖</m:t>
                            </m:r>
                            <m:r>
                              <a:rPr lang="et-EE" sz="1100" b="0" i="1">
                                <a:latin typeface="Cambria Math" panose="02040503050406030204" pitchFamily="18" charset="0"/>
                              </a:rPr>
                              <m:t> </m:t>
                            </m:r>
                            <m:r>
                              <a:rPr lang="et-EE" sz="1100" b="0" i="1">
                                <a:latin typeface="Cambria Math" panose="02040503050406030204" pitchFamily="18" charset="0"/>
                              </a:rPr>
                              <m:t>ℎ𝑖𝑛𝑑</m:t>
                            </m:r>
                          </m:den>
                        </m:f>
                        <m:r>
                          <a:rPr lang="et-EE" sz="1100" b="0" i="1">
                            <a:latin typeface="Cambria Math" panose="02040503050406030204" pitchFamily="18" charset="0"/>
                          </a:rPr>
                          <m:t>−</m:t>
                        </m:r>
                        <m:f>
                          <m:fPr>
                            <m:ctrlPr>
                              <a:rPr lang="et-EE" sz="1100" b="0" i="1">
                                <a:latin typeface="Cambria Math" panose="02040503050406030204" pitchFamily="18" charset="0"/>
                              </a:rPr>
                            </m:ctrlPr>
                          </m:fPr>
                          <m:num>
                            <m:r>
                              <a:rPr lang="et-EE" sz="1100" b="0" i="1">
                                <a:latin typeface="Cambria Math" panose="02040503050406030204" pitchFamily="18" charset="0"/>
                              </a:rPr>
                              <m:t>1</m:t>
                            </m:r>
                          </m:num>
                          <m:den>
                            <m:r>
                              <a:rPr lang="et-EE" sz="1100" b="0" i="1">
                                <a:latin typeface="Cambria Math" panose="02040503050406030204" pitchFamily="18" charset="0"/>
                              </a:rPr>
                              <m:t>𝑘𝑎𝑝𝑖𝑡𝑎𝑙𝑖</m:t>
                            </m:r>
                            <m:r>
                              <a:rPr lang="et-EE" sz="1100" b="0" i="1">
                                <a:latin typeface="Cambria Math" panose="02040503050406030204" pitchFamily="18" charset="0"/>
                              </a:rPr>
                              <m:t> </m:t>
                            </m:r>
                            <m:r>
                              <a:rPr lang="et-EE" sz="1100" b="0" i="1">
                                <a:latin typeface="Cambria Math" panose="02040503050406030204" pitchFamily="18" charset="0"/>
                              </a:rPr>
                              <m:t>ℎ𝑖𝑛𝑑</m:t>
                            </m:r>
                            <m:d>
                              <m:dPr>
                                <m:ctrlPr>
                                  <a:rPr lang="et-EE" sz="1100" b="0" i="1">
                                    <a:latin typeface="Cambria Math" panose="02040503050406030204" pitchFamily="18" charset="0"/>
                                  </a:rPr>
                                </m:ctrlPr>
                              </m:dPr>
                              <m:e>
                                <m:r>
                                  <a:rPr lang="et-EE" sz="1100" b="0" i="1">
                                    <a:latin typeface="Cambria Math" panose="02040503050406030204" pitchFamily="18" charset="0"/>
                                  </a:rPr>
                                  <m:t>1+</m:t>
                                </m:r>
                                <m:r>
                                  <a:rPr lang="et-EE" sz="1100" b="0" i="1">
                                    <a:latin typeface="Cambria Math" panose="02040503050406030204" pitchFamily="18" charset="0"/>
                                  </a:rPr>
                                  <m:t>𝑘𝑎𝑝𝑖𝑡𝑎𝑙𝑖</m:t>
                                </m:r>
                                <m:r>
                                  <a:rPr lang="et-EE" sz="1100" b="0" i="1">
                                    <a:latin typeface="Cambria Math" panose="02040503050406030204" pitchFamily="18" charset="0"/>
                                  </a:rPr>
                                  <m:t> </m:t>
                                </m:r>
                                <m:r>
                                  <a:rPr lang="et-EE" sz="1100" b="0" i="1">
                                    <a:latin typeface="Cambria Math" panose="02040503050406030204" pitchFamily="18" charset="0"/>
                                  </a:rPr>
                                  <m:t>ℎ𝑖𝑛𝑑</m:t>
                                </m:r>
                              </m:e>
                            </m:d>
                            <m:r>
                              <a:rPr lang="et-EE" sz="1100" b="0" i="1" baseline="30000">
                                <a:latin typeface="Cambria Math" panose="02040503050406030204" pitchFamily="18" charset="0"/>
                              </a:rPr>
                              <m:t>𝑡</m:t>
                            </m:r>
                          </m:den>
                        </m:f>
                      </m:den>
                    </m:f>
                  </m:oMath>
                </m:oMathPara>
              </a14:m>
              <a:endParaRPr lang="et-EE" sz="1100"/>
            </a:p>
          </xdr:txBody>
        </xdr:sp>
      </mc:Choice>
      <mc:Fallback xmlns="">
        <xdr:sp macro="" textlink="">
          <xdr:nvSpPr>
            <xdr:cNvPr id="3" name="TextBox 2">
              <a:extLst>
                <a:ext uri="{FF2B5EF4-FFF2-40B4-BE49-F238E27FC236}">
                  <a16:creationId xmlns:a16="http://schemas.microsoft.com/office/drawing/2014/main" id="{F31C3E3B-08EF-A6AE-4D31-98F5D946BBCD}"/>
                </a:ext>
              </a:extLst>
            </xdr:cNvPr>
            <xdr:cNvSpPr txBox="1"/>
          </xdr:nvSpPr>
          <xdr:spPr>
            <a:xfrm>
              <a:off x="12508871" y="25480980"/>
              <a:ext cx="3236613" cy="5477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t-EE" sz="1100" b="0" i="0">
                  <a:latin typeface="Cambria Math" panose="02040503050406030204" pitchFamily="18" charset="0"/>
                </a:rPr>
                <a:t>𝑖𝑛𝑣𝑒𝑠𝑡𝑒𝑒𝑟𝑖𝑛𝑔/(1/(𝑘𝑎𝑝𝑖𝑡𝑎𝑙𝑖 ℎ𝑖𝑛𝑑)−1/(𝑘𝑎𝑝𝑖𝑡𝑎𝑙𝑖 ℎ𝑖𝑛𝑑(1+𝑘𝑎𝑝𝑖𝑡𝑎𝑙𝑖 ℎ𝑖𝑛𝑑)</a:t>
              </a:r>
              <a:r>
                <a:rPr lang="et-EE" sz="1100" b="0" i="0" baseline="30000">
                  <a:latin typeface="Cambria Math" panose="02040503050406030204" pitchFamily="18" charset="0"/>
                </a:rPr>
                <a:t>𝑡))</a:t>
              </a:r>
              <a:endParaRPr lang="et-EE" sz="1100"/>
            </a:p>
          </xdr:txBody>
        </xdr:sp>
      </mc:Fallback>
    </mc:AlternateContent>
    <xdr:clientData/>
  </xdr:oneCellAnchor>
  <xdr:twoCellAnchor editAs="oneCell">
    <xdr:from>
      <xdr:col>3</xdr:col>
      <xdr:colOff>1481396</xdr:colOff>
      <xdr:row>135</xdr:row>
      <xdr:rowOff>135581</xdr:rowOff>
    </xdr:from>
    <xdr:to>
      <xdr:col>4</xdr:col>
      <xdr:colOff>576840</xdr:colOff>
      <xdr:row>137</xdr:row>
      <xdr:rowOff>67680</xdr:rowOff>
    </xdr:to>
    <xdr:pic>
      <xdr:nvPicPr>
        <xdr:cNvPr id="7" name="Picture 6">
          <a:extLst>
            <a:ext uri="{FF2B5EF4-FFF2-40B4-BE49-F238E27FC236}">
              <a16:creationId xmlns:a16="http://schemas.microsoft.com/office/drawing/2014/main" id="{CD8DAF47-F01C-123A-FDE7-AAFBB1BB4298}"/>
            </a:ext>
          </a:extLst>
        </xdr:cNvPr>
        <xdr:cNvPicPr>
          <a:picLocks noChangeAspect="1"/>
        </xdr:cNvPicPr>
      </xdr:nvPicPr>
      <xdr:blipFill>
        <a:blip xmlns:r="http://schemas.openxmlformats.org/officeDocument/2006/relationships" r:embed="rId4"/>
        <a:stretch>
          <a:fillRect/>
        </a:stretch>
      </xdr:blipFill>
      <xdr:spPr>
        <a:xfrm>
          <a:off x="6849014" y="26514228"/>
          <a:ext cx="653061" cy="29068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arkus Lüllman" id="{31F88FDE-DC09-4F61-BA38-7471C82C792B}" userId="598c36b14c3f46f3" providerId="Windows Live"/>
  <person displayName="Markus Erik Lüllman" id="{B8FAA8A3-8971-41F5-8A5C-8E4B811161CA}" userId="S::lullma@taltech.ee::1196c189-b243-4b08-a1ee-08e1a3e4b49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33" dT="2026-07-15T15:06:14.38" personId="{31F88FDE-DC09-4F61-BA38-7471C82C792B}" id="{5BBA79E9-980B-4A00-AD99-20BEC9A10685}">
    <text>turuväärtus uuel seadmel - turuväärtus vanal seadmel ehk alternatiivkulu+tagasisaadav käibekapital-maks turuväärtuste vahest</text>
  </threadedComment>
  <threadedComment ref="B33" dT="2026-07-15T15:05:42.60" personId="{31F88FDE-DC09-4F61-BA38-7471C82C792B}" id="{1B4D1F77-5EAD-4D2A-BC3F-19BD3F77DA43}">
    <text xml:space="preserve">tulu-kulu-(kulumisummade muutus võrreldes varasemaga)*(1-tc)+ kulumisummade muutus võrreldes varasemaga
</text>
  </threadedComment>
  <threadedComment ref="A40" dT="2026-07-15T15:37:45.39" personId="{31F88FDE-DC09-4F61-BA38-7471C82C792B}" id="{69D61615-E3DF-425D-BE12-3485A1C03991}">
    <text>Lihtne tasuvusaeg ei arvesta raha ajaväärtust, mis teeb selle ebatäpsemaks
Samuti selle tasuvusaeg on tavaliselt lühem, ning võib seeläbi üle hinnata projekti tasuvust
Tasuvusaeg üldiselt ei arvesta ka hilisemaid rahavoogusid, mis võivad pikema tasuvusajaga projekti muuta hoopis tasuvamaks</text>
  </threadedComment>
  <threadedComment ref="G40" dT="2026-07-15T15:24:06.55" personId="{31F88FDE-DC09-4F61-BA38-7471C82C792B}" id="{16C52412-8160-4863-A164-E4B63A680CC0}">
    <text>Tasuvusaeg saavutatakse 5-6 aasta vahel</text>
  </threadedComment>
  <threadedComment ref="I42" dT="2026-07-15T15:24:35.34" personId="{31F88FDE-DC09-4F61-BA38-7471C82C792B}" id="{30338D78-2587-4001-A95E-46F9930FB2AD}">
    <text>Tasuvusaeg saavutatakse 7-8 aasta vahel</text>
  </threadedComment>
  <threadedComment ref="C47" dT="2025-11-20T10:41:02.61" personId="{31F88FDE-DC09-4F61-BA38-7471C82C792B}" id="{F72FABC9-1970-4090-AE2D-E6E9AD39EEED}">
    <text xml:space="preserve">Puhas nüüdisväärtus, kui palju rahavood(rahalised sissetulekud ja väljaminekud) kokku väärt on täna(kõikide rahavooguse summa)
</text>
  </threadedComment>
  <threadedComment ref="C48" dT="2025-11-20T11:09:53.48" personId="{31F88FDE-DC09-4F61-BA38-7471C82C792B}" id="{5F1F8F40-6457-4D9A-A215-D4B1707D7C80}">
    <text>Projekti oodatav tulumäär, tuleks võrrelda nõutava tulumääraga, kui ületab, tasub ära. Vastab diskontomäärale, kus NPV võrdub nulliga</text>
  </threadedComment>
  <threadedComment ref="C48" dT="2025-11-20T11:15:33.94" personId="{31F88FDE-DC09-4F61-BA38-7471C82C792B}" id="{C7AD7383-320E-4E19-BB43-8D98144DE1F7}" parentId="{5F1F8F40-6457-4D9A-A215-D4B1707D7C80}">
    <text>Võrreldakse ka kapitali hinnaga WACC, kui suurem, tasub investeerida</text>
  </threadedComment>
  <threadedComment ref="B75" dT="2026-07-15T18:29:53.13" personId="{31F88FDE-DC09-4F61-BA38-7471C82C792B}" id="{931A4C33-9EC3-402A-AB8E-10FEAD97D783}">
    <text>kõrgem kui nõutav tulumäär, ehk projekt tasub ellu viia</text>
  </threadedComment>
  <threadedComment ref="B76" dT="2026-07-15T18:29:07.22" personId="{31F88FDE-DC09-4F61-BA38-7471C82C792B}" id="{6F4E3CBC-7CB8-4097-8493-FD1093A4C481}">
    <text>Seda ei saa usaldusväärselt tõlgendada ebatavaliste rahavoogude puhul</text>
  </threadedComment>
  <threadedComment ref="I84" dT="2026-07-16T09:21:48.69" personId="{31F88FDE-DC09-4F61-BA38-7471C82C792B}" id="{4D8B0E43-FE40-4740-B98B-2ED6DB7E8024}">
    <text xml:space="preserve">NPV näitab, kui palju väärtust loob projekt kokku 
EA näitab, kui palju väärtust loob projekt keskmiselt aastas
Seetõttu tuleks erinevate pikkuste, kuid sama eesmärgiga projektide puhul eelsitada ekvivalentset annuiteeti
Antud juhul on siiski võrdlemiseks mõlemad näitajad välja toodud
</text>
  </threadedComment>
  <threadedComment ref="A85" dT="2026-07-16T08:39:36.19" personId="{31F88FDE-DC09-4F61-BA38-7471C82C792B}" id="{AC726FE6-55F8-4F35-BFB4-EA5EE804908B}">
    <text>maksud ja lisanduvad püsikulud puuduvad lihtsustamise eesmärgil</text>
  </threadedComment>
  <threadedComment ref="A157" dT="2025-11-20T17:30:57.92" personId="{B8FAA8A3-8971-41F5-8A5C-8E4B811161CA}" id="{CFB82128-8446-44B8-B183-9CC55987C06F}">
    <text>netoinvesteeringute nüüdisväärtus, arvestab ainult investeeringuga seotud rahavoogusid mitte tegevuskuludega seotud</text>
  </threadedComment>
  <threadedComment ref="A158" dT="2026-07-16T11:20:08.40" personId="{31F88FDE-DC09-4F61-BA38-7471C82C792B}" id="{B52680C3-0E5F-4549-82FF-159F77ED9501}">
    <text>milline peab olema iga-aastane täiendav rahavoog, et tagasi teenida investeeringu kulud</text>
  </threadedComment>
  <threadedComment ref="A162" dT="2026-07-16T11:24:48.28" personId="{31F88FDE-DC09-4F61-BA38-7471C82C792B}" id="{C2EB3F3C-69E3-4F1B-9C67-568704E3E180}">
    <text xml:space="preserve">müügimaht (või tulu), mille juures raamatupidamislik kasum on null — st tulud katavad täpselt kõik kulud, k.a kulum (amortisatsioon). 
Ei arvesta raha ajaväärtust ega kapitali hinda
</text>
  </threadedComment>
  <threadedComment ref="A166" dT="2026-07-16T11:25:03.00" personId="{31F88FDE-DC09-4F61-BA38-7471C82C792B}" id="{2B1EF60E-F781-44DE-8364-C2557132354F}">
    <text xml:space="preserve">Näitab müügimahtu, mille juures ettevõttel on piisavalt raha, et täita kõik maksekohustused.
Siin arvestatakse:
reaalseid rahalisi püsikulusid, 
intresse, 
laenu põhiosa tagasimakseid, 
vajadusel dividendide või investorite nõutavaid väljamakseid. 
Amortisatsiooni ei arvestata, sest see ei too kaasa rahalist väljaminekut.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7D1E-308B-4CA0-BE09-5D4D90F3A3D2}">
  <dimension ref="A1:O175"/>
  <sheetViews>
    <sheetView tabSelected="1" topLeftCell="A74" zoomScale="53" workbookViewId="0">
      <selection activeCell="I84" sqref="I84"/>
    </sheetView>
  </sheetViews>
  <sheetFormatPr defaultRowHeight="14.4" x14ac:dyDescent="0.3"/>
  <cols>
    <col min="1" max="1" width="37.33203125" customWidth="1"/>
    <col min="2" max="2" width="18.88671875" customWidth="1"/>
    <col min="3" max="3" width="22" customWidth="1"/>
    <col min="4" max="4" width="22.77734375" customWidth="1"/>
    <col min="5" max="5" width="21.6640625" customWidth="1"/>
    <col min="6" max="6" width="19" customWidth="1"/>
    <col min="7" max="7" width="16.77734375" customWidth="1"/>
    <col min="8" max="8" width="15.5546875" customWidth="1"/>
    <col min="9" max="9" width="23.77734375" customWidth="1"/>
    <col min="10" max="11" width="15.5546875" customWidth="1"/>
    <col min="12" max="12" width="20.109375" bestFit="1" customWidth="1"/>
    <col min="13" max="13" width="11.21875" customWidth="1"/>
    <col min="14" max="14" width="12.77734375" customWidth="1"/>
    <col min="15" max="15" width="17.5546875" customWidth="1"/>
    <col min="18" max="18" width="17.6640625" bestFit="1" customWidth="1"/>
  </cols>
  <sheetData>
    <row r="1" spans="1:7" ht="45" customHeight="1" x14ac:dyDescent="0.3">
      <c r="D1" s="76" t="s">
        <v>83</v>
      </c>
      <c r="E1" s="77"/>
      <c r="F1" s="77"/>
      <c r="G1" s="78"/>
    </row>
    <row r="2" spans="1:7" x14ac:dyDescent="0.3">
      <c r="A2" t="s">
        <v>48</v>
      </c>
      <c r="D2" s="79"/>
      <c r="E2" s="80"/>
      <c r="F2" s="80"/>
      <c r="G2" s="81"/>
    </row>
    <row r="3" spans="1:7" x14ac:dyDescent="0.3">
      <c r="D3" s="79"/>
      <c r="E3" s="80"/>
      <c r="F3" s="80"/>
      <c r="G3" s="81"/>
    </row>
    <row r="4" spans="1:7" x14ac:dyDescent="0.3">
      <c r="D4" s="79"/>
      <c r="E4" s="80"/>
      <c r="F4" s="80"/>
      <c r="G4" s="81"/>
    </row>
    <row r="5" spans="1:7" ht="15" thickBot="1" x14ac:dyDescent="0.35">
      <c r="D5" s="82"/>
      <c r="E5" s="83"/>
      <c r="F5" s="83"/>
      <c r="G5" s="84"/>
    </row>
    <row r="7" spans="1:7" x14ac:dyDescent="0.3">
      <c r="A7" s="87" t="s">
        <v>49</v>
      </c>
      <c r="B7" s="88"/>
      <c r="C7" s="87" t="s">
        <v>50</v>
      </c>
      <c r="D7" s="88"/>
    </row>
    <row r="8" spans="1:7" x14ac:dyDescent="0.3">
      <c r="A8" s="12" t="s">
        <v>51</v>
      </c>
      <c r="B8" s="13">
        <v>400000</v>
      </c>
      <c r="C8" s="89" t="s">
        <v>52</v>
      </c>
      <c r="D8" s="91">
        <v>1000000</v>
      </c>
    </row>
    <row r="9" spans="1:7" x14ac:dyDescent="0.3">
      <c r="A9" s="12" t="s">
        <v>53</v>
      </c>
      <c r="B9" s="13">
        <v>600000</v>
      </c>
      <c r="C9" s="90"/>
      <c r="D9" s="92"/>
    </row>
    <row r="10" spans="1:7" x14ac:dyDescent="0.3">
      <c r="A10" s="12" t="s">
        <v>56</v>
      </c>
      <c r="B10" s="14" t="s">
        <v>55</v>
      </c>
      <c r="C10" s="12" t="s">
        <v>54</v>
      </c>
      <c r="D10" s="14" t="s">
        <v>55</v>
      </c>
    </row>
    <row r="11" spans="1:7" x14ac:dyDescent="0.3">
      <c r="A11" s="12" t="s">
        <v>57</v>
      </c>
      <c r="B11" s="13">
        <v>300000</v>
      </c>
      <c r="C11" s="12" t="s">
        <v>57</v>
      </c>
      <c r="D11" s="13">
        <v>450000</v>
      </c>
    </row>
    <row r="12" spans="1:7" x14ac:dyDescent="0.3">
      <c r="A12" s="12" t="s">
        <v>58</v>
      </c>
      <c r="B12" s="13">
        <v>120000</v>
      </c>
      <c r="C12" s="12" t="s">
        <v>58</v>
      </c>
      <c r="D12" s="13">
        <v>150000</v>
      </c>
    </row>
    <row r="13" spans="1:7" x14ac:dyDescent="0.3">
      <c r="A13" s="12" t="s">
        <v>59</v>
      </c>
      <c r="B13" s="13">
        <v>40000</v>
      </c>
      <c r="C13" s="12" t="s">
        <v>59</v>
      </c>
      <c r="D13" s="13">
        <v>100000</v>
      </c>
    </row>
    <row r="14" spans="1:7" ht="28.8" x14ac:dyDescent="0.3">
      <c r="A14" s="12" t="s">
        <v>60</v>
      </c>
      <c r="B14" s="13">
        <v>0</v>
      </c>
      <c r="C14" s="47" t="s">
        <v>60</v>
      </c>
      <c r="D14" s="13">
        <v>0</v>
      </c>
    </row>
    <row r="15" spans="1:7" x14ac:dyDescent="0.3">
      <c r="A15" s="12" t="s">
        <v>61</v>
      </c>
      <c r="B15" s="13">
        <v>100000</v>
      </c>
      <c r="C15" s="12" t="s">
        <v>61</v>
      </c>
      <c r="D15" s="13">
        <v>200000</v>
      </c>
    </row>
    <row r="18" spans="1:7" x14ac:dyDescent="0.3">
      <c r="A18" s="85" t="s">
        <v>65</v>
      </c>
      <c r="B18" s="85"/>
    </row>
    <row r="19" spans="1:7" x14ac:dyDescent="0.3">
      <c r="A19" s="6" t="s">
        <v>63</v>
      </c>
      <c r="B19" s="10">
        <f>-D8</f>
        <v>-1000000</v>
      </c>
    </row>
    <row r="20" spans="1:7" x14ac:dyDescent="0.3">
      <c r="A20" s="6" t="s">
        <v>2</v>
      </c>
      <c r="B20" s="10">
        <f>Praegune_turuväärtus</f>
        <v>600000</v>
      </c>
      <c r="C20" t="str">
        <f t="shared" ref="C20:C25" ca="1" si="0">_xlfn.FORMULATEXT(B20)</f>
        <v>=Praegune_turuväärtus</v>
      </c>
      <c r="F20" s="1"/>
    </row>
    <row r="21" spans="1:7" x14ac:dyDescent="0.3">
      <c r="A21" s="6" t="s">
        <v>3</v>
      </c>
      <c r="B21" s="11">
        <f>uue_seadme_aastane_muugitulu-Müügitulu_aastas</f>
        <v>150000</v>
      </c>
      <c r="C21" s="1" t="str">
        <f t="shared" ca="1" si="0"/>
        <v>=uue_seadme_aastane_muugitulu-Müügitulu_aastas</v>
      </c>
      <c r="E21" s="1"/>
      <c r="F21" s="1"/>
      <c r="G21" s="1"/>
    </row>
    <row r="22" spans="1:7" x14ac:dyDescent="0.3">
      <c r="A22" s="6" t="s">
        <v>4</v>
      </c>
      <c r="B22" s="10">
        <f>Rahalised_tegevuskulud-uue_seadme_tegevuskulud</f>
        <v>-30000</v>
      </c>
      <c r="C22" t="str">
        <f t="shared" ca="1" si="0"/>
        <v>=Rahalised_tegevuskulud-uue_seadme_tegevuskulud</v>
      </c>
    </row>
    <row r="23" spans="1:7" ht="28.2" customHeight="1" x14ac:dyDescent="0.3">
      <c r="A23" s="17" t="s">
        <v>8</v>
      </c>
      <c r="B23" s="11">
        <f>uue_seadme_Aastane_kulumisumma-Aastane_kulumisumma</f>
        <v>60000</v>
      </c>
      <c r="C23" t="str">
        <f t="shared" ca="1" si="0"/>
        <v>=uue_seadme_Aastane_kulumisumma-Aastane_kulumisumma</v>
      </c>
      <c r="F23" s="1"/>
    </row>
    <row r="24" spans="1:7" x14ac:dyDescent="0.3">
      <c r="A24" s="6" t="s">
        <v>7</v>
      </c>
      <c r="B24" s="10">
        <f>uue_seadme_loppvaartus</f>
        <v>200000</v>
      </c>
      <c r="C24" t="str">
        <f t="shared" ca="1" si="0"/>
        <v>=uue_seadme_loppvaartus</v>
      </c>
    </row>
    <row r="25" spans="1:7" x14ac:dyDescent="0.3">
      <c r="A25" s="6" t="s">
        <v>10</v>
      </c>
      <c r="B25" s="10">
        <f>vana_seadme_loppvaartus</f>
        <v>100000</v>
      </c>
      <c r="C25" t="str">
        <f t="shared" ca="1" si="0"/>
        <v>=vana_seadme_loppvaartus</v>
      </c>
    </row>
    <row r="26" spans="1:7" x14ac:dyDescent="0.3">
      <c r="A26" s="6" t="s">
        <v>6</v>
      </c>
      <c r="B26" s="10">
        <v>-80000</v>
      </c>
    </row>
    <row r="27" spans="1:7" x14ac:dyDescent="0.3">
      <c r="A27" s="6" t="s">
        <v>14</v>
      </c>
      <c r="B27" s="18">
        <v>0.08</v>
      </c>
    </row>
    <row r="28" spans="1:7" x14ac:dyDescent="0.3">
      <c r="A28" s="6" t="s">
        <v>62</v>
      </c>
      <c r="B28" s="19">
        <v>0.3</v>
      </c>
    </row>
    <row r="31" spans="1:7" x14ac:dyDescent="0.3">
      <c r="A31" s="94" t="s">
        <v>66</v>
      </c>
      <c r="B31" s="95"/>
      <c r="C31" s="96"/>
    </row>
    <row r="32" spans="1:7" ht="43.2" x14ac:dyDescent="0.3">
      <c r="A32" s="9" t="s">
        <v>5</v>
      </c>
      <c r="B32" s="24" t="s">
        <v>64</v>
      </c>
      <c r="C32" s="9" t="s">
        <v>9</v>
      </c>
    </row>
    <row r="33" spans="1:13" x14ac:dyDescent="0.3">
      <c r="A33" s="26">
        <f>uue_seadme_alginvesteering+täiedav_käibekapitali_vajadus+(vana_seadme_müük-(Praegune_turuväärtus-Praegune_raamatupidamislik_väärtus)*maksumäär)</f>
        <v>-540000</v>
      </c>
      <c r="B33" s="27">
        <f>(müügitulu_võit+tegevuskulude_muut-uue_seadme_aastane_ammort_VÕRRELDES_VARASEMAGA)*(1-maksumäär)+uue_seadme_aastane_ammort_VÕRRELDES_VARASEMAGA</f>
        <v>102000</v>
      </c>
      <c r="C33" s="15">
        <f>uue_seadme_lõppväärtus-vana_seadme_lõppväärtus-täiedav_käibekapitali_vajadus-maksumäär*(uue_seadme_lõppväärtus-vana_seadme_lõppväärtus)</f>
        <v>150000</v>
      </c>
      <c r="D33" t="str">
        <f ca="1">_xlfn.FORMULATEXT(lõpetav_rahavoog)</f>
        <v>=uue_seadme_lõppväärtus-vana_seadme_lõppväärtus-täiedav_käibekapitali_vajadus-maksumäär*(uue_seadme_lõppväärtus-vana_seadme_lõppväärtus)</v>
      </c>
    </row>
    <row r="37" spans="1:13" x14ac:dyDescent="0.3">
      <c r="A37" s="85" t="s">
        <v>69</v>
      </c>
      <c r="B37" s="85"/>
      <c r="C37" s="85"/>
      <c r="D37" s="85"/>
      <c r="E37" s="85"/>
      <c r="F37" s="85"/>
      <c r="G37" s="85"/>
      <c r="H37" s="85"/>
      <c r="I37" s="85"/>
      <c r="J37" s="85"/>
      <c r="K37" s="85"/>
      <c r="L37" s="85"/>
    </row>
    <row r="38" spans="1:13" x14ac:dyDescent="0.3">
      <c r="A38" s="9" t="s">
        <v>11</v>
      </c>
      <c r="B38" s="9">
        <v>0</v>
      </c>
      <c r="C38" s="9">
        <v>1</v>
      </c>
      <c r="D38" s="9">
        <v>2</v>
      </c>
      <c r="E38" s="9">
        <v>3</v>
      </c>
      <c r="F38" s="9">
        <v>4</v>
      </c>
      <c r="G38" s="9">
        <v>5</v>
      </c>
      <c r="H38" s="9">
        <v>6</v>
      </c>
      <c r="I38" s="9">
        <v>7</v>
      </c>
      <c r="J38" s="9">
        <v>8</v>
      </c>
      <c r="K38" s="9">
        <v>9</v>
      </c>
      <c r="L38" s="9">
        <v>10</v>
      </c>
    </row>
    <row r="39" spans="1:13" ht="15" thickBot="1" x14ac:dyDescent="0.35">
      <c r="A39" s="33" t="s">
        <v>12</v>
      </c>
      <c r="B39" s="29">
        <f>algne_investeering</f>
        <v>-540000</v>
      </c>
      <c r="C39" s="11">
        <f t="shared" ref="C39:K39" si="1">Lisanduvad_äritegevuslikud_rahavood__OCF</f>
        <v>102000</v>
      </c>
      <c r="D39" s="11">
        <f t="shared" si="1"/>
        <v>102000</v>
      </c>
      <c r="E39" s="11">
        <f t="shared" si="1"/>
        <v>102000</v>
      </c>
      <c r="F39" s="11">
        <f t="shared" si="1"/>
        <v>102000</v>
      </c>
      <c r="G39" s="22">
        <f t="shared" si="1"/>
        <v>102000</v>
      </c>
      <c r="H39" s="11">
        <f t="shared" si="1"/>
        <v>102000</v>
      </c>
      <c r="I39" s="11">
        <f t="shared" si="1"/>
        <v>102000</v>
      </c>
      <c r="J39" s="11">
        <f t="shared" si="1"/>
        <v>102000</v>
      </c>
      <c r="K39" s="11">
        <f t="shared" si="1"/>
        <v>102000</v>
      </c>
      <c r="L39" s="11">
        <f>lõpetav_rahavoog+Lisanduvad_äritegevuslikud_rahavood__OCF</f>
        <v>252000</v>
      </c>
      <c r="M39" s="25" t="str">
        <f ca="1">_xlfn.FORMULATEXT(L39)</f>
        <v>=lõpetav_rahavoog+Lisanduvad_äritegevuslikud_rahavood__OCF</v>
      </c>
    </row>
    <row r="40" spans="1:13" ht="15" thickBot="1" x14ac:dyDescent="0.35">
      <c r="A40" s="34" t="s">
        <v>67</v>
      </c>
      <c r="B40" s="32">
        <f>B39</f>
        <v>-540000</v>
      </c>
      <c r="C40" s="11">
        <f>B40+C39</f>
        <v>-438000</v>
      </c>
      <c r="D40" s="11">
        <f t="shared" ref="D40:L40" si="2">C40+D39</f>
        <v>-336000</v>
      </c>
      <c r="E40" s="11">
        <f t="shared" si="2"/>
        <v>-234000</v>
      </c>
      <c r="F40" s="20">
        <f t="shared" si="2"/>
        <v>-132000</v>
      </c>
      <c r="G40" s="28">
        <f t="shared" si="2"/>
        <v>-30000</v>
      </c>
      <c r="H40" s="21">
        <f t="shared" si="2"/>
        <v>72000</v>
      </c>
      <c r="I40" s="11">
        <f t="shared" si="2"/>
        <v>174000</v>
      </c>
      <c r="J40" s="11">
        <f t="shared" si="2"/>
        <v>276000</v>
      </c>
      <c r="K40" s="11">
        <f t="shared" si="2"/>
        <v>378000</v>
      </c>
      <c r="L40" s="11">
        <f t="shared" si="2"/>
        <v>630000</v>
      </c>
      <c r="M40" s="35"/>
    </row>
    <row r="41" spans="1:13" ht="15" thickBot="1" x14ac:dyDescent="0.35">
      <c r="A41" s="23" t="s">
        <v>13</v>
      </c>
      <c r="B41" s="29">
        <f>algne_investeering</f>
        <v>-540000</v>
      </c>
      <c r="C41" s="29">
        <f>-C39/(1+$B$27)</f>
        <v>-94444.444444444438</v>
      </c>
      <c r="D41" s="29">
        <f>C41/(1+$B$27)</f>
        <v>-87448.559670781877</v>
      </c>
      <c r="E41" s="29">
        <f>D41/(1+$B$27)</f>
        <v>-80970.888584057291</v>
      </c>
      <c r="F41" s="29">
        <f t="shared" ref="F41:K41" si="3">E41/(1+$B$27)</f>
        <v>-74973.04498523823</v>
      </c>
      <c r="G41" s="30">
        <f t="shared" si="3"/>
        <v>-69419.486097442801</v>
      </c>
      <c r="H41" s="29">
        <f t="shared" si="3"/>
        <v>-64277.301942076665</v>
      </c>
      <c r="I41" s="31">
        <f t="shared" si="3"/>
        <v>-59516.020316737646</v>
      </c>
      <c r="J41" s="29">
        <f t="shared" si="3"/>
        <v>-55107.426219201523</v>
      </c>
      <c r="K41" s="29">
        <f t="shared" si="3"/>
        <v>-51025.394647408815</v>
      </c>
      <c r="L41" s="10">
        <f>L39/(1+$B$27)^L38</f>
        <v>116724.75899734044</v>
      </c>
    </row>
    <row r="42" spans="1:13" ht="15" thickBot="1" x14ac:dyDescent="0.35">
      <c r="A42" s="6" t="s">
        <v>1</v>
      </c>
      <c r="B42" s="29">
        <f t="shared" ref="B42" si="4">B41</f>
        <v>-540000</v>
      </c>
      <c r="C42" s="11">
        <f>B41-C41</f>
        <v>-445555.55555555556</v>
      </c>
      <c r="D42" s="11">
        <f>C42-D41</f>
        <v>-358106.99588477367</v>
      </c>
      <c r="E42" s="11">
        <f t="shared" ref="E42:K42" si="5">D42-E41</f>
        <v>-277136.10730071639</v>
      </c>
      <c r="F42" s="11">
        <f t="shared" si="5"/>
        <v>-202163.06231547816</v>
      </c>
      <c r="G42" s="11">
        <f t="shared" si="5"/>
        <v>-132743.57621803536</v>
      </c>
      <c r="H42" s="20">
        <f t="shared" si="5"/>
        <v>-68466.274275958698</v>
      </c>
      <c r="I42" s="28">
        <f t="shared" si="5"/>
        <v>-8950.2539592210524</v>
      </c>
      <c r="J42" s="21">
        <f t="shared" si="5"/>
        <v>46157.172259980471</v>
      </c>
      <c r="K42" s="11">
        <f t="shared" si="5"/>
        <v>97182.566907389293</v>
      </c>
      <c r="L42" s="11">
        <f>K42+L41</f>
        <v>213907.32590472972</v>
      </c>
      <c r="M42" s="1"/>
    </row>
    <row r="45" spans="1:13" ht="15" thickBot="1" x14ac:dyDescent="0.35"/>
    <row r="46" spans="1:13" x14ac:dyDescent="0.3">
      <c r="C46" s="97" t="s">
        <v>68</v>
      </c>
      <c r="D46" s="98"/>
    </row>
    <row r="47" spans="1:13" x14ac:dyDescent="0.3">
      <c r="C47" s="36" t="s">
        <v>15</v>
      </c>
      <c r="D47" s="37">
        <f>NPV(B27,C39:L39)+B39</f>
        <v>213907.32590472978</v>
      </c>
      <c r="E47" t="s">
        <v>17</v>
      </c>
    </row>
    <row r="48" spans="1:13" ht="15" thickBot="1" x14ac:dyDescent="0.35">
      <c r="C48" s="38" t="s">
        <v>16</v>
      </c>
      <c r="D48" s="39">
        <f>IRR(B39:L39)</f>
        <v>0.15400788562742007</v>
      </c>
    </row>
    <row r="49" spans="1:7" s="7" customFormat="1" ht="15" thickBot="1" x14ac:dyDescent="0.35">
      <c r="D49"/>
      <c r="E49"/>
      <c r="F49"/>
      <c r="G49"/>
    </row>
    <row r="50" spans="1:7" x14ac:dyDescent="0.3">
      <c r="A50" t="s">
        <v>26</v>
      </c>
      <c r="D50" s="76" t="s">
        <v>84</v>
      </c>
      <c r="E50" s="77"/>
      <c r="F50" s="77"/>
      <c r="G50" s="78"/>
    </row>
    <row r="51" spans="1:7" x14ac:dyDescent="0.3">
      <c r="D51" s="79"/>
      <c r="E51" s="80"/>
      <c r="F51" s="80"/>
      <c r="G51" s="81"/>
    </row>
    <row r="52" spans="1:7" x14ac:dyDescent="0.3">
      <c r="D52" s="79"/>
      <c r="E52" s="80"/>
      <c r="F52" s="80"/>
      <c r="G52" s="81"/>
    </row>
    <row r="53" spans="1:7" x14ac:dyDescent="0.3">
      <c r="D53" s="79"/>
      <c r="E53" s="80"/>
      <c r="F53" s="80"/>
      <c r="G53" s="81"/>
    </row>
    <row r="54" spans="1:7" ht="15" thickBot="1" x14ac:dyDescent="0.35">
      <c r="D54" s="82"/>
      <c r="E54" s="83"/>
      <c r="F54" s="83"/>
      <c r="G54" s="84"/>
    </row>
    <row r="57" spans="1:7" ht="28.8" x14ac:dyDescent="0.3">
      <c r="A57" s="46" t="s">
        <v>73</v>
      </c>
      <c r="B57" s="18">
        <v>0.1</v>
      </c>
    </row>
    <row r="60" spans="1:7" x14ac:dyDescent="0.3">
      <c r="A60" s="93" t="s">
        <v>66</v>
      </c>
      <c r="B60" s="93"/>
      <c r="C60" s="93"/>
      <c r="D60" s="93"/>
      <c r="E60" s="93"/>
      <c r="F60" s="93"/>
    </row>
    <row r="61" spans="1:7" x14ac:dyDescent="0.3">
      <c r="A61" s="9" t="s">
        <v>11</v>
      </c>
      <c r="B61" s="41">
        <v>0</v>
      </c>
      <c r="C61" s="41">
        <v>1</v>
      </c>
      <c r="D61" s="41">
        <v>2</v>
      </c>
      <c r="E61" s="41">
        <v>3</v>
      </c>
      <c r="F61" s="41">
        <v>4</v>
      </c>
    </row>
    <row r="62" spans="1:7" x14ac:dyDescent="0.3">
      <c r="A62" s="9" t="s">
        <v>12</v>
      </c>
      <c r="B62" s="10">
        <v>-10000000</v>
      </c>
      <c r="C62" s="10">
        <v>6000000</v>
      </c>
      <c r="D62" s="10">
        <v>-4000000</v>
      </c>
      <c r="E62" s="10">
        <v>5000000</v>
      </c>
      <c r="F62" s="10">
        <v>8000000</v>
      </c>
    </row>
    <row r="65" spans="1:7" x14ac:dyDescent="0.3">
      <c r="B65" s="3" t="s">
        <v>19</v>
      </c>
    </row>
    <row r="66" spans="1:7" x14ac:dyDescent="0.3">
      <c r="B66" s="3" t="s">
        <v>20</v>
      </c>
    </row>
    <row r="67" spans="1:7" x14ac:dyDescent="0.3">
      <c r="A67" s="45" t="s">
        <v>70</v>
      </c>
      <c r="B67" s="45"/>
      <c r="C67" s="45"/>
    </row>
    <row r="68" spans="1:7" x14ac:dyDescent="0.3">
      <c r="A68" s="9"/>
      <c r="B68" s="9" t="s">
        <v>21</v>
      </c>
      <c r="C68" s="9" t="s">
        <v>22</v>
      </c>
    </row>
    <row r="69" spans="1:7" x14ac:dyDescent="0.3">
      <c r="A69" s="9"/>
      <c r="B69" s="43">
        <f>C62*(1+nõutav_tulumäär)^E61</f>
        <v>7986000.0000000028</v>
      </c>
      <c r="C69" s="43">
        <f>B62/(1+nõutav_tulumäär)^B61</f>
        <v>-10000000</v>
      </c>
    </row>
    <row r="70" spans="1:7" x14ac:dyDescent="0.3">
      <c r="A70" s="9"/>
      <c r="B70" s="43">
        <f>E62*(1+nõutav_tulumäär)^C61</f>
        <v>5500000</v>
      </c>
      <c r="C70" s="43">
        <f>D62/(1+nõutav_tulumäär)^D61</f>
        <v>-3305785.1239669416</v>
      </c>
    </row>
    <row r="71" spans="1:7" x14ac:dyDescent="0.3">
      <c r="A71" s="9"/>
      <c r="B71" s="42">
        <f>F62*(1+nõutav_tulumäär)^B61</f>
        <v>8000000</v>
      </c>
      <c r="C71" s="6"/>
    </row>
    <row r="72" spans="1:7" x14ac:dyDescent="0.3">
      <c r="A72" s="16" t="s">
        <v>23</v>
      </c>
      <c r="B72" s="44">
        <f>SUM(B69:B71)</f>
        <v>21486000.000000004</v>
      </c>
      <c r="C72" s="44">
        <f>SUM(C69:C71)</f>
        <v>-13305785.123966942</v>
      </c>
    </row>
    <row r="73" spans="1:7" x14ac:dyDescent="0.3">
      <c r="A73" s="3"/>
      <c r="B73" s="3"/>
      <c r="C73" s="4"/>
    </row>
    <row r="74" spans="1:7" ht="28.8" x14ac:dyDescent="0.3">
      <c r="A74" s="9" t="s">
        <v>24</v>
      </c>
      <c r="B74" s="50" t="s">
        <v>25</v>
      </c>
    </row>
    <row r="75" spans="1:7" x14ac:dyDescent="0.3">
      <c r="A75" s="9" t="s">
        <v>18</v>
      </c>
      <c r="B75" s="40">
        <f>MIRR(B62:F62,nõutav_tulumäär,nõutav_tulumäär)</f>
        <v>0.12727212097266416</v>
      </c>
      <c r="C75" t="str">
        <f ca="1">_xlfn.FORMULATEXT(B75)</f>
        <v>=MIRR(B62:F62;nõutav_tulumäär;nõutav_tulumäär)</v>
      </c>
    </row>
    <row r="76" spans="1:7" x14ac:dyDescent="0.3">
      <c r="A76" s="9" t="s">
        <v>16</v>
      </c>
      <c r="B76" s="19">
        <f>IRR(B62:F62)</f>
        <v>0.15230064054110737</v>
      </c>
      <c r="C76" t="str">
        <f ca="1">_xlfn.FORMULATEXT(B76)</f>
        <v>=IRR(B62:F62)</v>
      </c>
    </row>
    <row r="77" spans="1:7" x14ac:dyDescent="0.3">
      <c r="B77" s="2"/>
    </row>
    <row r="80" spans="1:7" s="7" customFormat="1" ht="15" thickBot="1" x14ac:dyDescent="0.35">
      <c r="C80" s="5"/>
      <c r="D80"/>
      <c r="E80"/>
      <c r="F80"/>
      <c r="G80"/>
    </row>
    <row r="81" spans="1:9" ht="54.6" customHeight="1" x14ac:dyDescent="0.3">
      <c r="A81" t="s">
        <v>47</v>
      </c>
      <c r="C81" s="2"/>
      <c r="D81" s="76" t="s">
        <v>93</v>
      </c>
      <c r="E81" s="77"/>
      <c r="F81" s="77"/>
      <c r="G81" s="78"/>
    </row>
    <row r="82" spans="1:9" x14ac:dyDescent="0.3">
      <c r="C82" s="2"/>
      <c r="D82" s="79"/>
      <c r="E82" s="80"/>
      <c r="F82" s="80"/>
      <c r="G82" s="81"/>
    </row>
    <row r="83" spans="1:9" ht="15" thickBot="1" x14ac:dyDescent="0.35">
      <c r="C83" s="2"/>
      <c r="D83" s="82"/>
      <c r="E83" s="83"/>
      <c r="F83" s="83"/>
      <c r="G83" s="84"/>
    </row>
    <row r="84" spans="1:9" ht="15" thickBot="1" x14ac:dyDescent="0.35">
      <c r="C84" s="2"/>
      <c r="I84" s="51" t="s">
        <v>85</v>
      </c>
    </row>
    <row r="85" spans="1:9" x14ac:dyDescent="0.3">
      <c r="A85" s="94" t="s">
        <v>71</v>
      </c>
      <c r="B85" s="96"/>
    </row>
    <row r="86" spans="1:9" x14ac:dyDescent="0.3">
      <c r="A86" s="6" t="s">
        <v>30</v>
      </c>
      <c r="B86" s="6">
        <v>34000</v>
      </c>
    </row>
    <row r="87" spans="1:9" x14ac:dyDescent="0.3">
      <c r="A87" s="6" t="s">
        <v>31</v>
      </c>
      <c r="B87" s="6">
        <v>9000</v>
      </c>
    </row>
    <row r="88" spans="1:9" x14ac:dyDescent="0.3">
      <c r="A88" s="6" t="s">
        <v>74</v>
      </c>
      <c r="B88" s="6">
        <v>10</v>
      </c>
    </row>
    <row r="89" spans="1:9" x14ac:dyDescent="0.3">
      <c r="A89" s="6" t="s">
        <v>75</v>
      </c>
      <c r="B89" s="6">
        <v>8</v>
      </c>
    </row>
    <row r="90" spans="1:9" x14ac:dyDescent="0.3">
      <c r="A90" s="6" t="s">
        <v>33</v>
      </c>
      <c r="B90" s="6">
        <v>3400</v>
      </c>
    </row>
    <row r="91" spans="1:9" x14ac:dyDescent="0.3">
      <c r="A91" s="6" t="s">
        <v>34</v>
      </c>
      <c r="B91" s="6">
        <v>0</v>
      </c>
    </row>
    <row r="92" spans="1:9" x14ac:dyDescent="0.3">
      <c r="A92" s="6" t="s">
        <v>35</v>
      </c>
      <c r="B92" s="6">
        <v>2</v>
      </c>
    </row>
    <row r="93" spans="1:9" x14ac:dyDescent="0.3">
      <c r="A93" s="6" t="s">
        <v>77</v>
      </c>
      <c r="B93" s="6">
        <v>12000</v>
      </c>
    </row>
    <row r="94" spans="1:9" x14ac:dyDescent="0.3">
      <c r="A94" s="6" t="s">
        <v>78</v>
      </c>
      <c r="B94" s="6">
        <v>10600</v>
      </c>
    </row>
    <row r="95" spans="1:9" x14ac:dyDescent="0.3">
      <c r="A95" s="6" t="s">
        <v>79</v>
      </c>
      <c r="B95" s="6">
        <f>Uue_masina_tootmisvõimsus__tk_a*toote_hind</f>
        <v>24000</v>
      </c>
      <c r="C95" t="str">
        <f ca="1">_xlfn.FORMULATEXT(B95)</f>
        <v>=Uue_masina_tootmisvõimsus__tk_a*toote_hind</v>
      </c>
    </row>
    <row r="96" spans="1:9" x14ac:dyDescent="0.3">
      <c r="A96" s="6" t="s">
        <v>80</v>
      </c>
      <c r="B96" s="6">
        <f>Vana_masina_tootmisvõimsus__tk_a*toote_hind</f>
        <v>21200</v>
      </c>
      <c r="C96" t="str">
        <f t="shared" ref="C96" ca="1" si="6">_xlfn.FORMULATEXT(B96)</f>
        <v>=Vana_masina_tootmisvõimsus__tk_a*toote_hind</v>
      </c>
    </row>
    <row r="97" spans="1:15" x14ac:dyDescent="0.3">
      <c r="A97" s="6" t="s">
        <v>36</v>
      </c>
      <c r="B97" s="6">
        <v>17000</v>
      </c>
    </row>
    <row r="98" spans="1:15" x14ac:dyDescent="0.3">
      <c r="A98" s="6" t="s">
        <v>37</v>
      </c>
      <c r="B98" s="6">
        <v>18000</v>
      </c>
    </row>
    <row r="99" spans="1:15" x14ac:dyDescent="0.3">
      <c r="A99" s="6" t="s">
        <v>76</v>
      </c>
      <c r="B99" s="18">
        <v>0.1</v>
      </c>
      <c r="J99" s="48"/>
      <c r="O99" s="3"/>
    </row>
    <row r="103" spans="1:15" x14ac:dyDescent="0.3">
      <c r="A103" s="85" t="s">
        <v>81</v>
      </c>
      <c r="B103" s="85"/>
    </row>
    <row r="104" spans="1:15" x14ac:dyDescent="0.3">
      <c r="A104" s="9" t="s">
        <v>27</v>
      </c>
      <c r="B104" s="9" t="s">
        <v>29</v>
      </c>
      <c r="E104" s="85" t="s">
        <v>82</v>
      </c>
      <c r="F104" s="85"/>
    </row>
    <row r="105" spans="1:15" x14ac:dyDescent="0.3">
      <c r="A105" s="6">
        <v>0</v>
      </c>
      <c r="B105" s="6">
        <f>-uue_masina_hind</f>
        <v>-34000</v>
      </c>
      <c r="C105" t="str">
        <f ca="1">_xlfn.FORMULATEXT(B105)</f>
        <v>=-uue_masina_hind</v>
      </c>
      <c r="E105" s="9" t="s">
        <v>27</v>
      </c>
      <c r="F105" s="9" t="s">
        <v>32</v>
      </c>
    </row>
    <row r="106" spans="1:15" x14ac:dyDescent="0.3">
      <c r="A106" s="6">
        <v>1</v>
      </c>
      <c r="B106" s="6">
        <f>uue_masina_müügitulu_aastas-uue_masina_kulud</f>
        <v>7000</v>
      </c>
      <c r="C106" t="str">
        <f ca="1">_xlfn.FORMULATEXT(B106)</f>
        <v>=uue_masina_müügitulu_aastas-uue_masina_kulud</v>
      </c>
      <c r="E106" s="6">
        <v>0</v>
      </c>
      <c r="F106" s="6">
        <f>-kasutatud_masina_hind</f>
        <v>-9000</v>
      </c>
      <c r="G106" t="str">
        <f ca="1">_xlfn.FORMULATEXT(F106)</f>
        <v>=-kasutatud_masina_hind</v>
      </c>
    </row>
    <row r="107" spans="1:15" x14ac:dyDescent="0.3">
      <c r="A107" s="6">
        <v>2</v>
      </c>
      <c r="B107" s="6">
        <f t="shared" ref="B107:B114" si="7">B106</f>
        <v>7000</v>
      </c>
      <c r="E107" s="6">
        <v>1</v>
      </c>
      <c r="F107" s="6">
        <f>vana_masina_müügitulu_aastas-vana_masina_kulud</f>
        <v>3200</v>
      </c>
      <c r="G107" t="str">
        <f ca="1">_xlfn.FORMULATEXT(F107)</f>
        <v>=vana_masina_müügitulu_aastas-vana_masina_kulud</v>
      </c>
    </row>
    <row r="108" spans="1:15" x14ac:dyDescent="0.3">
      <c r="A108" s="6">
        <v>3</v>
      </c>
      <c r="B108" s="6">
        <f t="shared" si="7"/>
        <v>7000</v>
      </c>
      <c r="E108" s="6">
        <v>2</v>
      </c>
      <c r="F108" s="6">
        <f>F107</f>
        <v>3200</v>
      </c>
    </row>
    <row r="109" spans="1:15" x14ac:dyDescent="0.3">
      <c r="A109" s="6">
        <v>4</v>
      </c>
      <c r="B109" s="6">
        <f t="shared" si="7"/>
        <v>7000</v>
      </c>
      <c r="E109" s="6">
        <v>3</v>
      </c>
      <c r="F109" s="6">
        <f t="shared" ref="F109:F114" si="8">F108</f>
        <v>3200</v>
      </c>
    </row>
    <row r="110" spans="1:15" x14ac:dyDescent="0.3">
      <c r="A110" s="6">
        <v>5</v>
      </c>
      <c r="B110" s="6">
        <f t="shared" si="7"/>
        <v>7000</v>
      </c>
      <c r="E110" s="6">
        <v>4</v>
      </c>
      <c r="F110" s="6">
        <f t="shared" si="8"/>
        <v>3200</v>
      </c>
    </row>
    <row r="111" spans="1:15" x14ac:dyDescent="0.3">
      <c r="A111" s="6">
        <v>6</v>
      </c>
      <c r="B111" s="6">
        <f t="shared" si="7"/>
        <v>7000</v>
      </c>
      <c r="E111" s="6">
        <v>5</v>
      </c>
      <c r="F111" s="6">
        <f t="shared" si="8"/>
        <v>3200</v>
      </c>
    </row>
    <row r="112" spans="1:15" x14ac:dyDescent="0.3">
      <c r="A112" s="6">
        <v>7</v>
      </c>
      <c r="B112" s="6">
        <f t="shared" si="7"/>
        <v>7000</v>
      </c>
      <c r="E112" s="6">
        <v>6</v>
      </c>
      <c r="F112" s="6">
        <f t="shared" si="8"/>
        <v>3200</v>
      </c>
    </row>
    <row r="113" spans="1:7" x14ac:dyDescent="0.3">
      <c r="A113" s="6">
        <v>8</v>
      </c>
      <c r="B113" s="6">
        <f t="shared" si="7"/>
        <v>7000</v>
      </c>
      <c r="E113" s="6">
        <v>7</v>
      </c>
      <c r="F113" s="6">
        <f t="shared" si="8"/>
        <v>3200</v>
      </c>
    </row>
    <row r="114" spans="1:7" x14ac:dyDescent="0.3">
      <c r="A114" s="6">
        <v>9</v>
      </c>
      <c r="B114" s="6">
        <f t="shared" si="7"/>
        <v>7000</v>
      </c>
      <c r="E114" s="6">
        <v>8</v>
      </c>
      <c r="F114" s="6">
        <f t="shared" si="8"/>
        <v>3200</v>
      </c>
    </row>
    <row r="115" spans="1:7" x14ac:dyDescent="0.3">
      <c r="A115" s="6">
        <v>10</v>
      </c>
      <c r="B115" s="6">
        <f>uue_masina_jääk+B114</f>
        <v>10400</v>
      </c>
      <c r="C115" t="str">
        <f ca="1">_xlfn.FORMULATEXT(B115)</f>
        <v>=uue_masina_jääk+B114</v>
      </c>
      <c r="E115" s="16" t="s">
        <v>15</v>
      </c>
      <c r="F115" s="52">
        <f>NPV(kapitali_hind,F107:F114)-kasutatud_masina_hind</f>
        <v>8071.7638332885253</v>
      </c>
      <c r="G115" t="str">
        <f ca="1">_xlfn.FORMULATEXT(F115)</f>
        <v>=NPV(kapitali_hind;F107:F114)-kasutatud_masina_hind</v>
      </c>
    </row>
    <row r="116" spans="1:7" x14ac:dyDescent="0.3">
      <c r="A116" s="16" t="s">
        <v>15</v>
      </c>
      <c r="B116" s="53">
        <f>NPV(kapitali_hind,B106:B115)+B105</f>
        <v>10322.816923993167</v>
      </c>
      <c r="E116" s="16" t="s">
        <v>28</v>
      </c>
      <c r="F116" s="52">
        <f>F115/((1/kapitali_hind)-1/(kapitali_hind*(1+kapitali_hind)^kasutatud_masina_eluiga))</f>
        <v>1513.0038418266774</v>
      </c>
      <c r="G116" t="str">
        <f ca="1">_xlfn.FORMULATEXT(F116)</f>
        <v>=F115/((1/kapitali_hind)-1/(kapitali_hind*(1+kapitali_hind)^kasutatud_masina_eluiga))</v>
      </c>
    </row>
    <row r="117" spans="1:7" x14ac:dyDescent="0.3">
      <c r="A117" s="16" t="s">
        <v>28</v>
      </c>
      <c r="B117" s="54">
        <f>B116/((1/kapitali_hind)-1/(kapitali_hind*(1+kapitali_hind)^uue_masina_eeldatav_eluiga))</f>
        <v>1679.990916595141</v>
      </c>
      <c r="C117" t="str">
        <f ca="1">_xlfn.FORMULATEXT(B117)</f>
        <v>=B116/((1/kapitali_hind)-1/(kapitali_hind*(1+kapitali_hind)^uue_masina_eeldatav_eluiga))</v>
      </c>
    </row>
    <row r="119" spans="1:7" s="7" customFormat="1" x14ac:dyDescent="0.3"/>
    <row r="120" spans="1:7" ht="14.4" customHeight="1" x14ac:dyDescent="0.3">
      <c r="D120" s="99" t="s">
        <v>90</v>
      </c>
      <c r="E120" s="100"/>
      <c r="F120" s="100"/>
      <c r="G120" s="101"/>
    </row>
    <row r="121" spans="1:7" ht="14.4" customHeight="1" x14ac:dyDescent="0.3">
      <c r="A121" s="3" t="s">
        <v>106</v>
      </c>
      <c r="D121" s="102"/>
      <c r="E121" s="80"/>
      <c r="F121" s="80"/>
      <c r="G121" s="103"/>
    </row>
    <row r="122" spans="1:7" ht="14.4" customHeight="1" x14ac:dyDescent="0.3">
      <c r="D122" s="102"/>
      <c r="E122" s="80"/>
      <c r="F122" s="80"/>
      <c r="G122" s="103"/>
    </row>
    <row r="123" spans="1:7" ht="14.4" customHeight="1" x14ac:dyDescent="0.3">
      <c r="A123" s="93" t="s">
        <v>91</v>
      </c>
      <c r="B123" s="93"/>
      <c r="D123" s="102"/>
      <c r="E123" s="80"/>
      <c r="F123" s="80"/>
      <c r="G123" s="103"/>
    </row>
    <row r="124" spans="1:7" x14ac:dyDescent="0.3">
      <c r="A124" s="23" t="s">
        <v>86</v>
      </c>
      <c r="B124" s="23">
        <v>16000</v>
      </c>
      <c r="D124" s="104"/>
      <c r="E124" s="105"/>
      <c r="F124" s="105"/>
      <c r="G124" s="106"/>
    </row>
    <row r="125" spans="1:7" ht="14.4" customHeight="1" x14ac:dyDescent="0.55000000000000004">
      <c r="A125" s="23" t="s">
        <v>87</v>
      </c>
      <c r="B125" s="73">
        <v>5</v>
      </c>
      <c r="D125" s="66"/>
      <c r="E125" s="66"/>
      <c r="F125" s="66"/>
      <c r="G125" s="66"/>
    </row>
    <row r="126" spans="1:7" ht="14.4" customHeight="1" x14ac:dyDescent="0.55000000000000004">
      <c r="A126" s="6" t="s">
        <v>72</v>
      </c>
      <c r="B126" s="72">
        <v>2400000</v>
      </c>
      <c r="D126" s="66"/>
      <c r="E126" s="75" t="s">
        <v>94</v>
      </c>
      <c r="F126" s="75"/>
      <c r="G126" s="75"/>
    </row>
    <row r="127" spans="1:7" x14ac:dyDescent="0.3">
      <c r="A127" s="6" t="s">
        <v>41</v>
      </c>
      <c r="B127" s="6">
        <v>125000</v>
      </c>
      <c r="C127" t="s">
        <v>104</v>
      </c>
      <c r="E127" s="57"/>
      <c r="F127" s="58"/>
      <c r="G127" s="59"/>
    </row>
    <row r="128" spans="1:7" x14ac:dyDescent="0.3">
      <c r="A128" s="6" t="s">
        <v>42</v>
      </c>
      <c r="B128" s="6">
        <v>80</v>
      </c>
      <c r="E128" s="60"/>
      <c r="F128" s="61"/>
      <c r="G128" s="62"/>
    </row>
    <row r="129" spans="1:7" x14ac:dyDescent="0.3">
      <c r="A129" s="6" t="s">
        <v>43</v>
      </c>
      <c r="B129" s="6">
        <v>25</v>
      </c>
      <c r="E129" s="55"/>
      <c r="F129" s="55"/>
      <c r="G129" s="55"/>
    </row>
    <row r="130" spans="1:7" x14ac:dyDescent="0.3">
      <c r="A130" s="6" t="s">
        <v>88</v>
      </c>
      <c r="B130" s="6">
        <v>450000</v>
      </c>
      <c r="E130" s="86" t="s">
        <v>95</v>
      </c>
      <c r="F130" s="86"/>
      <c r="G130" s="86"/>
    </row>
    <row r="131" spans="1:7" x14ac:dyDescent="0.3">
      <c r="A131" s="6" t="s">
        <v>89</v>
      </c>
      <c r="B131" s="6">
        <v>500000</v>
      </c>
      <c r="E131" s="57"/>
      <c r="F131" s="58"/>
      <c r="G131" s="59"/>
    </row>
    <row r="132" spans="1:7" x14ac:dyDescent="0.3">
      <c r="A132" s="6" t="s">
        <v>96</v>
      </c>
      <c r="B132" s="6">
        <v>0.12</v>
      </c>
      <c r="E132" s="63"/>
      <c r="F132" s="64"/>
      <c r="G132" s="65"/>
    </row>
    <row r="133" spans="1:7" x14ac:dyDescent="0.3">
      <c r="A133" s="6" t="s">
        <v>92</v>
      </c>
      <c r="B133" s="6">
        <f>saabaste_arv*saapa_hind</f>
        <v>1280000</v>
      </c>
    </row>
    <row r="134" spans="1:7" x14ac:dyDescent="0.3">
      <c r="A134" s="6" t="s">
        <v>44</v>
      </c>
      <c r="B134" s="6">
        <f>(algne__investeering-seadmete_jääkväärtus)/hanke_pikkus_aastates</f>
        <v>380000</v>
      </c>
      <c r="C134" t="str">
        <f ca="1">_xlfn.FORMULATEXT(KULUM_aastas)</f>
        <v>=(algne__investeering-seadmete_jääkväärtus)/hanke_pikkus_aastates</v>
      </c>
    </row>
    <row r="135" spans="1:7" x14ac:dyDescent="0.3">
      <c r="E135" s="86" t="s">
        <v>97</v>
      </c>
      <c r="F135" s="86"/>
      <c r="G135" s="86"/>
    </row>
    <row r="136" spans="1:7" x14ac:dyDescent="0.3">
      <c r="E136" s="57"/>
      <c r="F136" s="58"/>
      <c r="G136" s="59"/>
    </row>
    <row r="137" spans="1:7" x14ac:dyDescent="0.3">
      <c r="E137" s="60"/>
      <c r="F137" s="61"/>
      <c r="G137" s="62"/>
    </row>
    <row r="138" spans="1:7" x14ac:dyDescent="0.3">
      <c r="E138" s="63"/>
      <c r="F138" s="64"/>
      <c r="G138" s="65"/>
    </row>
    <row r="143" spans="1:7" x14ac:dyDescent="0.3">
      <c r="A143" s="9" t="s">
        <v>27</v>
      </c>
      <c r="B143" s="9">
        <v>0</v>
      </c>
      <c r="C143" s="9">
        <v>1</v>
      </c>
      <c r="D143" s="9">
        <v>2</v>
      </c>
      <c r="E143" s="9">
        <v>3</v>
      </c>
      <c r="F143" s="9">
        <v>4</v>
      </c>
      <c r="G143" s="9">
        <v>5</v>
      </c>
    </row>
    <row r="144" spans="1:7" x14ac:dyDescent="0.3">
      <c r="A144" s="6" t="s">
        <v>38</v>
      </c>
      <c r="B144" s="6"/>
      <c r="C144" s="6">
        <f>müügitulu</f>
        <v>1280000</v>
      </c>
      <c r="D144" s="6">
        <f>C144</f>
        <v>1280000</v>
      </c>
      <c r="E144" s="6">
        <f t="shared" ref="E144:G145" si="9">D144</f>
        <v>1280000</v>
      </c>
      <c r="F144" s="6">
        <f t="shared" si="9"/>
        <v>1280000</v>
      </c>
      <c r="G144" s="6">
        <f t="shared" si="9"/>
        <v>1280000</v>
      </c>
    </row>
    <row r="145" spans="1:7" x14ac:dyDescent="0.3">
      <c r="A145" s="6" t="s">
        <v>39</v>
      </c>
      <c r="B145" s="6"/>
      <c r="C145" s="6">
        <f>-(püsiv_tegevuskulu+muutuvkulu*saabaste_arv)</f>
        <v>-850000</v>
      </c>
      <c r="D145" s="6">
        <f>C145</f>
        <v>-850000</v>
      </c>
      <c r="E145" s="6">
        <f t="shared" si="9"/>
        <v>-850000</v>
      </c>
      <c r="F145" s="6">
        <f t="shared" si="9"/>
        <v>-850000</v>
      </c>
      <c r="G145" s="6">
        <f t="shared" si="9"/>
        <v>-850000</v>
      </c>
    </row>
    <row r="146" spans="1:7" x14ac:dyDescent="0.3">
      <c r="A146" s="6" t="s">
        <v>40</v>
      </c>
      <c r="B146" s="6"/>
      <c r="C146" s="6">
        <f>(tulu+kulu)</f>
        <v>430000</v>
      </c>
      <c r="D146" s="6">
        <f t="shared" ref="D146:G146" si="10">SUM(D144:D145)</f>
        <v>430000</v>
      </c>
      <c r="E146" s="6">
        <f t="shared" si="10"/>
        <v>430000</v>
      </c>
      <c r="F146" s="6">
        <f t="shared" si="10"/>
        <v>430000</v>
      </c>
      <c r="G146" s="6">
        <f t="shared" si="10"/>
        <v>430000</v>
      </c>
    </row>
    <row r="148" spans="1:7" x14ac:dyDescent="0.3">
      <c r="A148" s="9" t="s">
        <v>27</v>
      </c>
      <c r="B148" s="9">
        <v>0</v>
      </c>
      <c r="C148" s="9">
        <v>1</v>
      </c>
      <c r="D148" s="9">
        <v>2</v>
      </c>
      <c r="E148" s="9">
        <v>3</v>
      </c>
      <c r="F148" s="9">
        <v>4</v>
      </c>
      <c r="G148" s="9">
        <v>5</v>
      </c>
    </row>
    <row r="149" spans="1:7" x14ac:dyDescent="0.3">
      <c r="A149" s="6" t="s">
        <v>12</v>
      </c>
      <c r="B149" s="6"/>
      <c r="C149" s="6">
        <f>C146</f>
        <v>430000</v>
      </c>
      <c r="D149" s="6">
        <f t="shared" ref="D149:G149" si="11">D146</f>
        <v>430000</v>
      </c>
      <c r="E149" s="6">
        <f t="shared" si="11"/>
        <v>430000</v>
      </c>
      <c r="F149" s="6">
        <f t="shared" si="11"/>
        <v>430000</v>
      </c>
      <c r="G149" s="6">
        <f t="shared" si="11"/>
        <v>430000</v>
      </c>
    </row>
    <row r="150" spans="1:7" x14ac:dyDescent="0.3">
      <c r="A150" s="6" t="s">
        <v>0</v>
      </c>
      <c r="B150" s="6">
        <f>-algne__investeering</f>
        <v>-2400000</v>
      </c>
      <c r="C150" s="6"/>
      <c r="D150" s="6"/>
      <c r="E150" s="6"/>
      <c r="F150" s="6"/>
      <c r="G150" s="6">
        <f>seadmete_jääkväärtus</f>
        <v>500000</v>
      </c>
    </row>
    <row r="151" spans="1:7" x14ac:dyDescent="0.3">
      <c r="A151" s="6" t="s">
        <v>41</v>
      </c>
      <c r="B151" s="6">
        <f>-käibekapitali_vajadus</f>
        <v>-125000</v>
      </c>
      <c r="C151" s="6"/>
      <c r="D151" s="6"/>
      <c r="E151" s="6"/>
      <c r="F151" s="6"/>
      <c r="G151" s="6">
        <f>käibekapitali_vajadus</f>
        <v>125000</v>
      </c>
    </row>
    <row r="152" spans="1:7" x14ac:dyDescent="0.3">
      <c r="A152" s="6" t="s">
        <v>12</v>
      </c>
      <c r="B152" s="6">
        <f>alginvesteering+vajalik_käibekapital</f>
        <v>-2525000</v>
      </c>
      <c r="C152" s="6">
        <f t="shared" ref="C152:G152" si="12">SUM(C149:C151)</f>
        <v>430000</v>
      </c>
      <c r="D152" s="6">
        <f t="shared" si="12"/>
        <v>430000</v>
      </c>
      <c r="E152" s="6">
        <f t="shared" si="12"/>
        <v>430000</v>
      </c>
      <c r="F152" s="6">
        <f t="shared" si="12"/>
        <v>430000</v>
      </c>
      <c r="G152" s="6">
        <f t="shared" si="12"/>
        <v>1055000</v>
      </c>
    </row>
    <row r="156" spans="1:7" x14ac:dyDescent="0.3">
      <c r="A156" s="68" t="s">
        <v>46</v>
      </c>
      <c r="B156" s="1"/>
    </row>
    <row r="157" spans="1:7" x14ac:dyDescent="0.3">
      <c r="A157" s="8">
        <f>(algne__investeering+käibekapitali_vajadus)-(seadmete_jääkväärtus+käibekapitali_vajadus)/(1+kapitali__hind)^hanke_pikkus_aastates</f>
        <v>2170358.2151758755</v>
      </c>
      <c r="B157" s="1" t="str">
        <f ca="1">_xlfn.FORMULATEXT(netoinvesteeringute_nüüdisväärtus)</f>
        <v>=(algne__investeering+käibekapitali_vajadus)-(seadmete_jääkväärtus+käibekapitali_vajadus)/(1+kapitali__hind)^hanke_pikkus_aastates</v>
      </c>
    </row>
    <row r="158" spans="1:7" x14ac:dyDescent="0.3">
      <c r="A158" s="69" t="s">
        <v>45</v>
      </c>
    </row>
    <row r="159" spans="1:7" x14ac:dyDescent="0.3">
      <c r="A159" s="49">
        <f>netoinvesteeringute_nüüdisväärtus/((1/kapitali__hind)-(1/(kapitali__hind*(1+kapitali__hind)^hanke_pikkus_aastates)))</f>
        <v>602078.49068799266</v>
      </c>
      <c r="B159" t="str">
        <f ca="1">_xlfn.FORMULATEXT(EAC)</f>
        <v>=netoinvesteeringute_nüüdisväärtus/((1/kapitali__hind)-(1/(kapitali__hind*(1+kapitali__hind)^hanke_pikkus_aastates)))</v>
      </c>
    </row>
    <row r="160" spans="1:7" x14ac:dyDescent="0.3">
      <c r="A160" s="70" t="s">
        <v>99</v>
      </c>
    </row>
    <row r="161" spans="1:9" x14ac:dyDescent="0.3">
      <c r="A161" s="8">
        <f>saabaste_arv</f>
        <v>16000</v>
      </c>
    </row>
    <row r="162" spans="1:9" ht="28.8" x14ac:dyDescent="0.3">
      <c r="A162" s="71" t="s">
        <v>102</v>
      </c>
      <c r="H162" s="56"/>
    </row>
    <row r="163" spans="1:9" x14ac:dyDescent="0.3">
      <c r="A163" s="8">
        <f>(püsiv_tegevuskulu+KULUM_aastas)/(saapa_hind-muutuvkulu)</f>
        <v>15090.90909090909</v>
      </c>
      <c r="B163" t="str">
        <f ca="1">_xlfn.FORMULATEXT(A163)</f>
        <v>=(püsiv_tegevuskulu+KULUM_aastas)/(saapa_hind-muutuvkulu)</v>
      </c>
      <c r="H163" s="56"/>
    </row>
    <row r="164" spans="1:9" x14ac:dyDescent="0.3">
      <c r="A164" s="70" t="s">
        <v>100</v>
      </c>
      <c r="H164" s="56"/>
    </row>
    <row r="165" spans="1:9" x14ac:dyDescent="0.3">
      <c r="A165" s="67">
        <f>(Planeeritav_müügimaht-raamatupidamislik_tasuvuslävend_saapapaaride_arvuna)*(saapa_hind-muutuvkulu)</f>
        <v>50000.000000000044</v>
      </c>
      <c r="B165" t="str">
        <f ca="1">_xlfn.FORMULATEXT(A165)</f>
        <v>=(Planeeritav_müügimaht-raamatupidamislik_tasuvuslävend_saapapaaride_arvuna)*(saapa_hind-muutuvkulu)</v>
      </c>
      <c r="H165" s="56"/>
    </row>
    <row r="166" spans="1:9" x14ac:dyDescent="0.3">
      <c r="A166" s="69" t="s">
        <v>101</v>
      </c>
      <c r="H166" s="56"/>
    </row>
    <row r="167" spans="1:9" x14ac:dyDescent="0.3">
      <c r="A167" s="49">
        <f>(püsiv_tegevuskulu+EAC)/(saapa_hind-muutuvkulu)</f>
        <v>19128.699830690777</v>
      </c>
      <c r="B167" t="str">
        <f ca="1">_xlfn.FORMULATEXT(A167)</f>
        <v>=(püsiv_tegevuskulu+EAC)/(saapa_hind-muutuvkulu)</v>
      </c>
      <c r="H167" s="56"/>
    </row>
    <row r="168" spans="1:9" x14ac:dyDescent="0.3">
      <c r="A168" s="70" t="s">
        <v>98</v>
      </c>
      <c r="H168" s="56"/>
    </row>
    <row r="169" spans="1:9" x14ac:dyDescent="0.3">
      <c r="A169" s="11">
        <f>NPV(kapitali__hind,C152:G152)+B152</f>
        <v>-620304.44816752383</v>
      </c>
      <c r="F169" s="56"/>
      <c r="H169" s="56"/>
    </row>
    <row r="170" spans="1:9" x14ac:dyDescent="0.3">
      <c r="A170" s="1"/>
      <c r="F170" s="56"/>
      <c r="H170" s="56"/>
    </row>
    <row r="171" spans="1:9" x14ac:dyDescent="0.3">
      <c r="A171" s="35"/>
      <c r="H171" s="56"/>
    </row>
    <row r="172" spans="1:9" ht="115.2" x14ac:dyDescent="0.3">
      <c r="A172" s="74" t="s">
        <v>103</v>
      </c>
      <c r="B172" s="17" t="s">
        <v>105</v>
      </c>
      <c r="H172" s="56"/>
    </row>
    <row r="173" spans="1:9" x14ac:dyDescent="0.3">
      <c r="D173" s="1"/>
    </row>
    <row r="174" spans="1:9" s="7" customFormat="1" x14ac:dyDescent="0.3">
      <c r="I174"/>
    </row>
    <row r="175" spans="1:9" x14ac:dyDescent="0.3">
      <c r="I175" s="7"/>
    </row>
  </sheetData>
  <mergeCells count="20">
    <mergeCell ref="A60:F60"/>
    <mergeCell ref="D50:G54"/>
    <mergeCell ref="A123:B123"/>
    <mergeCell ref="A18:B18"/>
    <mergeCell ref="A31:C31"/>
    <mergeCell ref="C46:D46"/>
    <mergeCell ref="A37:L37"/>
    <mergeCell ref="A85:B85"/>
    <mergeCell ref="D120:G124"/>
    <mergeCell ref="D1:G5"/>
    <mergeCell ref="A7:B7"/>
    <mergeCell ref="C7:D7"/>
    <mergeCell ref="C8:C9"/>
    <mergeCell ref="D8:D9"/>
    <mergeCell ref="E126:G126"/>
    <mergeCell ref="D81:G83"/>
    <mergeCell ref="A103:B103"/>
    <mergeCell ref="E104:F104"/>
    <mergeCell ref="E135:G135"/>
    <mergeCell ref="E130:G130"/>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63</vt:i4>
      </vt:variant>
    </vt:vector>
  </HeadingPairs>
  <TitlesOfParts>
    <vt:vector size="64" baseType="lpstr">
      <vt:lpstr>Sheet1</vt:lpstr>
      <vt:lpstr>Aastane_kulumisumma</vt:lpstr>
      <vt:lpstr>alginvesteering</vt:lpstr>
      <vt:lpstr>algne__investeering</vt:lpstr>
      <vt:lpstr>algne_investeering</vt:lpstr>
      <vt:lpstr>EAC</vt:lpstr>
      <vt:lpstr>hanke_pikkus_aastates</vt:lpstr>
      <vt:lpstr>Järele_jäänud_kasutusaeg</vt:lpstr>
      <vt:lpstr>kapitali__hind</vt:lpstr>
      <vt:lpstr>kapitali_hind</vt:lpstr>
      <vt:lpstr>kasutatud_masina_eluiga</vt:lpstr>
      <vt:lpstr>kasutatud_masina_hind</vt:lpstr>
      <vt:lpstr>kasutatud_masina_jääk</vt:lpstr>
      <vt:lpstr>kulu</vt:lpstr>
      <vt:lpstr>KULUM_aastas</vt:lpstr>
      <vt:lpstr>käibekapitali_vajadus</vt:lpstr>
      <vt:lpstr>Lisanduvad_äritegevuslikud_rahavood__OCF</vt:lpstr>
      <vt:lpstr>lõpetav_rahavoog</vt:lpstr>
      <vt:lpstr>maksumäär</vt:lpstr>
      <vt:lpstr>muutuvkulu</vt:lpstr>
      <vt:lpstr>müügitulu</vt:lpstr>
      <vt:lpstr>Müügitulu_aastas</vt:lpstr>
      <vt:lpstr>müügitulu_võit</vt:lpstr>
      <vt:lpstr>netoinvesteeringute_nüüdisväärtus</vt:lpstr>
      <vt:lpstr>nõutav_tulumäär</vt:lpstr>
      <vt:lpstr>oodatav_tootlus</vt:lpstr>
      <vt:lpstr>oodatav_tulu</vt:lpstr>
      <vt:lpstr>Planeeritav_müügimaht</vt:lpstr>
      <vt:lpstr>Praegune_raamatupidamislik_väärtus</vt:lpstr>
      <vt:lpstr>Praegune_turuväärtus</vt:lpstr>
      <vt:lpstr>püsiv_tegevuskulu</vt:lpstr>
      <vt:lpstr>Raamatupidamislik_jääkväärtus__10a</vt:lpstr>
      <vt:lpstr>raamatupidamislik_tasuvuslävend_saapapaaride_arvuna</vt:lpstr>
      <vt:lpstr>Rahalised_tegevuskulud</vt:lpstr>
      <vt:lpstr>saabaste_arv</vt:lpstr>
      <vt:lpstr>saapa_hind</vt:lpstr>
      <vt:lpstr>seadmete_jääkväärtus</vt:lpstr>
      <vt:lpstr>tarnitavate_saapapaaride_arv</vt:lpstr>
      <vt:lpstr>tegevuskulude_muut</vt:lpstr>
      <vt:lpstr>toote_hind</vt:lpstr>
      <vt:lpstr>tulu</vt:lpstr>
      <vt:lpstr>täiedav_käibekapitali_vajadus</vt:lpstr>
      <vt:lpstr>uue_masina_eeldatav_eluiga</vt:lpstr>
      <vt:lpstr>uue_masina_hind</vt:lpstr>
      <vt:lpstr>uue_masina_jääk</vt:lpstr>
      <vt:lpstr>uue_masina_kulud</vt:lpstr>
      <vt:lpstr>uue_masina_müügitulu_aastas</vt:lpstr>
      <vt:lpstr>Uue_masina_tootmisvõimsus__tk_a</vt:lpstr>
      <vt:lpstr>uue_seadme_aastane_ammort_VÕRRELDES_VARASEMAGA</vt:lpstr>
      <vt:lpstr>uue_seadme_Aastane_kulumisumma</vt:lpstr>
      <vt:lpstr>uue_seadme_aastane_muugitulu</vt:lpstr>
      <vt:lpstr>uue_seadme_alginvesteering</vt:lpstr>
      <vt:lpstr>uue_seadme_Eeldatav_eluiga</vt:lpstr>
      <vt:lpstr>uue_seadme_jaakvaartus</vt:lpstr>
      <vt:lpstr>uue_seadme_loppvaartus</vt:lpstr>
      <vt:lpstr>uue_seadme_lõppväärtus</vt:lpstr>
      <vt:lpstr>uue_seadme_tegevuskulud</vt:lpstr>
      <vt:lpstr>vajalik_käibekapital</vt:lpstr>
      <vt:lpstr>vana_masina_kulud</vt:lpstr>
      <vt:lpstr>vana_masina_müügitulu_aastas</vt:lpstr>
      <vt:lpstr>Vana_masina_tootmisvõimsus__tk_a</vt:lpstr>
      <vt:lpstr>vana_seadme_loppvaartus</vt:lpstr>
      <vt:lpstr>vana_seadme_lõppväärtus</vt:lpstr>
      <vt:lpstr>vana_seadme_müük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Markus Erik Lüllman</dc:creator>
  <cp:lastModifiedBy>markus Lüllman</cp:lastModifiedBy>
  <dcterms:created xsi:type="dcterms:W3CDTF">2025-11-19T09:48:37Z</dcterms:created>
  <dcterms:modified xsi:type="dcterms:W3CDTF">2026-07-17T12:36:12Z</dcterms:modified>
</cp:coreProperties>
</file>