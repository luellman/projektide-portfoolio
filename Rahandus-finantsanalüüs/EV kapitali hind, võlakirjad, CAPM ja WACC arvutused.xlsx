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Rahandus-finantsanalüüs/"/>
    </mc:Choice>
  </mc:AlternateContent>
  <xr:revisionPtr revIDLastSave="375" documentId="8_{DC9834D9-9F73-46CB-B7F9-65AC1921B454}" xr6:coauthVersionLast="47" xr6:coauthVersionMax="47" xr10:uidLastSave="{A6A1BD0A-284E-445A-8495-6B7989A7535F}"/>
  <bookViews>
    <workbookView xWindow="-108" yWindow="-108" windowWidth="23256" windowHeight="12456" xr2:uid="{8E0D1BF5-CEB6-4FFE-80A9-2AD0B59230B6}"/>
  </bookViews>
  <sheets>
    <sheet name="Sheet1" sheetId="1" r:id="rId1"/>
  </sheets>
  <definedNames>
    <definedName name="_10_a._võlakirjade_hind_kup._Intressimääraga_0_05">Sheet1!$B$68</definedName>
    <definedName name="AAA_reitinguga_valitsuse_10._aastased_võlakirjade_tootlus_aastas">Sheet1!$B$91</definedName>
    <definedName name="aastane_kupongimakse">Sheet1!$B$69</definedName>
    <definedName name="aktsia_bilansiline_hind">Sheet1!$B$126</definedName>
    <definedName name="aktsia_hind_turul">Sheet1!$B$9</definedName>
    <definedName name="aktsia_nim._väärtus">Sheet1!$B$110</definedName>
    <definedName name="aktsia_nimiväärtus">Sheet1!$B$21</definedName>
    <definedName name="aktsia_P_E">Sheet1!$B$151</definedName>
    <definedName name="aktsia_turu_hind">Sheet1!#REF!</definedName>
    <definedName name="aktsia_turuhind">Sheet1!$B$156</definedName>
    <definedName name="aktsia_turuväärtus">Sheet1!$B$127</definedName>
    <definedName name="aktsiaid_emiteeritud">Sheet1!$B$149</definedName>
    <definedName name="aktsiate_emissiooni_maht">Sheet1!$B$109</definedName>
    <definedName name="aktsiate_emissioonimaht">Sheet1!$B$149</definedName>
    <definedName name="beeta">Sheet1!$B$89</definedName>
    <definedName name="d.võlakirjade_müügihinna_osakaal_nimiväärtusest">Sheet1!$B$40</definedName>
    <definedName name="diskontovõlakirjade_emissiooni_kogusumma">Sheet1!$B$39</definedName>
    <definedName name="dividend">Sheet1!$B$23</definedName>
    <definedName name="dividendi_kasvumäär">Sheet1!$B$115</definedName>
    <definedName name="dividendi_suurus">Sheet1!$B$124</definedName>
    <definedName name="dividendi_väljamaksu_tase_kasumist">Sheet1!$B$114</definedName>
    <definedName name="dividendide_keskmine_kasvumäär_edaspidiseks">Sheet1!$B$8</definedName>
    <definedName name="dividendimäär">Sheet1!$B$22</definedName>
    <definedName name="EBIT">Sheet1!$B$142</definedName>
    <definedName name="emissiooni_korraldaja_tasu_emissiooni_nimiväärtusest">Sheet1!$B$43</definedName>
    <definedName name="ettevõte_saab_kätte">Sheet1!$B$46</definedName>
    <definedName name="hind_emissioonikulude_mahaarvestamisel">Sheet1!$B$20</definedName>
    <definedName name="intresse_kandvad_laenud">Sheet1!$B$153</definedName>
    <definedName name="intressikulud">Sheet1!$B$143</definedName>
    <definedName name="kaasatav_omakapital">Sheet1!$B$88</definedName>
    <definedName name="kapital_kokku">Sheet1!$B$93</definedName>
    <definedName name="kasum_aktsia_kohta">Sheet1!$B$155</definedName>
    <definedName name="keskmine_kasvumäär">Sheet1!$B$8</definedName>
    <definedName name="kogukapital">Sheet1!$B$154</definedName>
    <definedName name="kogukapitali_väärtus">Sheet1!$B$134</definedName>
    <definedName name="kupongi_intressimäär">Sheet1!$B$95</definedName>
    <definedName name="kupongiintress">Sheet1!$B$63</definedName>
    <definedName name="kupongiintressimäär">Sheet1!$B$118</definedName>
    <definedName name="kupongimakse">Sheet1!$B$125</definedName>
    <definedName name="kupongimaksed_aastas">Sheet1!$B$97</definedName>
    <definedName name="kupongivõlakirja_emissiooni_maht">Sheet1!$B$92</definedName>
    <definedName name="kupongivõlakirja_nimiväärtus">Sheet1!$B$117</definedName>
    <definedName name="kupongivõlakirja_periood_aastates">Sheet1!$B$94</definedName>
    <definedName name="kupongivõlakirja_tulusus_tähtajani_YTM__Rd">Sheet1!$B$96</definedName>
    <definedName name="kupongivõlakirjade_maht">Sheet1!$B$116</definedName>
    <definedName name="kupongivõlakirjade_tootlus_aastas_YTM">Sheet1!$B$120</definedName>
    <definedName name="kupongivõlakirjade_tootlus_aastas_YTM_Rd">Sheet1!$B$120</definedName>
    <definedName name="kupongivõlakirjade_tähtaeg_aastates">Sheet1!$B$119</definedName>
    <definedName name="kupongvõlakirja_müügi_hind_perioodil_t_10">Sheet1!$B$64</definedName>
    <definedName name="kupongvõlakirja_nimiväärtus">Sheet1!$B$67</definedName>
    <definedName name="kupongvõlakirja_periood_aastates">Sheet1!$B$62</definedName>
    <definedName name="kupongvõlakirja_turuhind_praegu">Sheet1!$B$65</definedName>
    <definedName name="laenukapitali_väärtus__võlakirja_väärtus_x_kogus">Sheet1!$B$132</definedName>
    <definedName name="ligikaudne_laenude_intressimäär_Rd">Sheet1!$B$161</definedName>
    <definedName name="makstud_dividend_aktsia_kohta_Div0___eur">Sheet1!$B$7</definedName>
    <definedName name="maksustamiseelne_kasum">Sheet1!$B$144</definedName>
    <definedName name="müügihind_eelisaktsiate_emissioonil">Sheet1!$B$19</definedName>
    <definedName name="omakapital">Sheet1!$B$150</definedName>
    <definedName name="omakapital_bilansi_järgi">Sheet1!$B$111</definedName>
    <definedName name="omakapitali_hind_Re">Sheet1!$B$129</definedName>
    <definedName name="omakapitali_väärtus">Sheet1!$B$133</definedName>
    <definedName name="omakapitalilt_nõutav_tulumäär_Re">Sheet1!$B$160</definedName>
    <definedName name="oodatav__dividend">Sheet1!$B$128</definedName>
    <definedName name="oodatav_dividend">Sheet1!$B$158</definedName>
    <definedName name="oodatav_dividend_Div1">Sheet1!$B$10</definedName>
    <definedName name="P_B">Sheet1!$B$112</definedName>
    <definedName name="puhas_kasum">Sheet1!$B$146</definedName>
    <definedName name="puhaskasum">Sheet1!$B$113</definedName>
    <definedName name="puhaskasumi_kasvuprognoos">Sheet1!$B$152</definedName>
    <definedName name="tasu">Sheet1!$B$45</definedName>
    <definedName name="tasu_investeerimispangale">Sheet1!$B$44</definedName>
    <definedName name="tm_kasumilt">Sheet1!$B$70</definedName>
    <definedName name="tulumaks_dividendidelt">Sheet1!$B$145</definedName>
    <definedName name="turu_keskmine_tulumäär_Re">Sheet1!$B$90</definedName>
    <definedName name="uute_kupongvõlakirjade_periood_aastates">Sheet1!$B$66</definedName>
    <definedName name="WACC">Sheet1!$B$135</definedName>
    <definedName name="võlakirja_tähtaeg_aastates">Sheet1!$B$42</definedName>
    <definedName name="võlakirja_väärtus">Sheet1!$B$131</definedName>
    <definedName name="võlakirjade_müügihind_investoritele">Sheet1!$B$41</definedName>
    <definedName name="võõrkapitali_hind_Rd">Sheet1!$B$130</definedName>
    <definedName name="väljamakstav_dividend">Sheet1!$B$157</definedName>
    <definedName name="ytm">Sheet1!$B$78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3" i="1" l="1"/>
  <c r="B100" i="1" s="1"/>
  <c r="B97" i="1"/>
  <c r="B10" i="1"/>
  <c r="B12" i="1" s="1"/>
  <c r="B23" i="1"/>
  <c r="B44" i="1"/>
  <c r="B41" i="1"/>
  <c r="B54" i="1"/>
  <c r="B69" i="1"/>
  <c r="B78" i="1" s="1"/>
  <c r="C127" i="1"/>
  <c r="C97" i="1"/>
  <c r="C46" i="1"/>
  <c r="C10" i="1"/>
  <c r="C23" i="1"/>
  <c r="C41" i="1"/>
  <c r="C100" i="1"/>
  <c r="C54" i="1"/>
  <c r="B126" i="1" l="1"/>
  <c r="B127" i="1" s="1"/>
  <c r="B125" i="1"/>
  <c r="B131" i="1" s="1"/>
  <c r="B132" i="1" s="1"/>
  <c r="B124" i="1"/>
  <c r="B128" i="1" s="1"/>
  <c r="B155" i="1"/>
  <c r="B157" i="1" s="1"/>
  <c r="B158" i="1" s="1"/>
  <c r="B161" i="1"/>
  <c r="B99" i="1"/>
  <c r="B130" i="1"/>
  <c r="B26" i="1"/>
  <c r="C158" i="1"/>
  <c r="C160" i="1"/>
  <c r="C162" i="1"/>
  <c r="C80" i="1"/>
  <c r="C132" i="1"/>
  <c r="C131" i="1"/>
  <c r="C126" i="1"/>
  <c r="C155" i="1"/>
  <c r="C44" i="1"/>
  <c r="C128" i="1"/>
  <c r="C12" i="1"/>
  <c r="C133" i="1"/>
  <c r="C154" i="1"/>
  <c r="C161" i="1"/>
  <c r="C26" i="1"/>
  <c r="C125" i="1"/>
  <c r="C129" i="1"/>
  <c r="C25" i="1"/>
  <c r="C135" i="1"/>
  <c r="C134" i="1"/>
  <c r="C130" i="1"/>
  <c r="C78" i="1"/>
  <c r="C150" i="1"/>
  <c r="C99" i="1"/>
  <c r="C124" i="1"/>
  <c r="C157" i="1"/>
  <c r="C45" i="1"/>
  <c r="C156" i="1"/>
  <c r="B133" i="1" l="1"/>
  <c r="B129" i="1"/>
  <c r="B80" i="1"/>
  <c r="B156" i="1"/>
  <c r="B150" i="1" s="1"/>
  <c r="B154" i="1" s="1"/>
  <c r="B45" i="1"/>
  <c r="B46" i="1" s="1"/>
  <c r="B25" i="1"/>
  <c r="B134" i="1" l="1"/>
  <c r="B135" i="1" s="1"/>
  <c r="B160" i="1"/>
  <c r="B16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tc={E9D6A1F8-F7CA-464B-8602-13452237D8FC}</author>
  </authors>
  <commentList>
    <comment ref="B146" authorId="0" shapeId="0" xr:uid="{E9D6A1F8-F7CA-464B-8602-13452237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puhaskasum makstakse tulevikus välja dividendidena</t>
      </text>
    </comment>
  </commentList>
</comments>
</file>

<file path=xl/sharedStrings.xml><?xml version="1.0" encoding="utf-8"?>
<sst xmlns="http://schemas.openxmlformats.org/spreadsheetml/2006/main" count="145" uniqueCount="133">
  <si>
    <t>1.</t>
  </si>
  <si>
    <t>omakapitalilt nõutav tulumäär</t>
  </si>
  <si>
    <t>Re</t>
  </si>
  <si>
    <t>Re=(Div/P)+g</t>
  </si>
  <si>
    <t xml:space="preserve"> P – aktsia turuhind/väärtus</t>
  </si>
  <si>
    <t>Div1 – oodatav dividend järgmisel perioodil [leitav ka kui: Div0*(1+g)]</t>
  </si>
  <si>
    <t>Re – omakapitali nõutav tulunorm</t>
  </si>
  <si>
    <t>g – dividendide oodatav kasvumäär</t>
  </si>
  <si>
    <t>müügihind eelisaktsiate emissioonil</t>
  </si>
  <si>
    <t>hind emissioonikulude mahaarvestamisel</t>
  </si>
  <si>
    <t>aktsia nimiväärtus</t>
  </si>
  <si>
    <t>dividendimäär</t>
  </si>
  <si>
    <t xml:space="preserve"> hangitava kapitali hind arvestades emissioonikulusid</t>
  </si>
  <si>
    <t xml:space="preserve">dividend </t>
  </si>
  <si>
    <t>eelisaktsiate puhul kasvumäär puudub, saab ainult fikseeritud dividendi</t>
  </si>
  <si>
    <t>kapitali hind ilma emissioonikuludeta</t>
  </si>
  <si>
    <t>3.</t>
  </si>
  <si>
    <t>diskontovõlakirjade emissiooni kogusumma</t>
  </si>
  <si>
    <t>võlakirjade müügihind investoritele</t>
  </si>
  <si>
    <t>võlakirja tähtaeg aastates</t>
  </si>
  <si>
    <t>tasu investeerimispangale</t>
  </si>
  <si>
    <t xml:space="preserve">tasu </t>
  </si>
  <si>
    <t>ettevõte saab kätte</t>
  </si>
  <si>
    <t>kapitali hind %</t>
  </si>
  <si>
    <t>8=10/(1+r)^4</t>
  </si>
  <si>
    <t>8(1+r)^4=10</t>
  </si>
  <si>
    <t>(1+r)^4=10/8</t>
  </si>
  <si>
    <t>1+r=(1,25)^(1/4)</t>
  </si>
  <si>
    <t>4.</t>
  </si>
  <si>
    <t>kupongiintress</t>
  </si>
  <si>
    <t>kupongvõlakirja turuhind praegu</t>
  </si>
  <si>
    <t>kupongvõlakirja nimiväärtus</t>
  </si>
  <si>
    <t>10 a. võlakirjade hind kup. Intressimääraga 0,05</t>
  </si>
  <si>
    <t>laenukapitali maksueelne hind</t>
  </si>
  <si>
    <t>kupongimaksed aastas</t>
  </si>
  <si>
    <t>pv=fv(1+r)^t</t>
  </si>
  <si>
    <t>C</t>
  </si>
  <si>
    <t>F</t>
  </si>
  <si>
    <t>nimiväärtus</t>
  </si>
  <si>
    <r>
      <t>V</t>
    </r>
    <r>
      <rPr>
        <vertAlign val="subscript"/>
        <sz val="11"/>
        <color theme="1"/>
        <rFont val="Aptos Narrow"/>
        <family val="2"/>
        <scheme val="minor"/>
      </rPr>
      <t>0</t>
    </r>
  </si>
  <si>
    <t>turuväärtus</t>
  </si>
  <si>
    <t>T</t>
  </si>
  <si>
    <t>aastaid kustutamiseni</t>
  </si>
  <si>
    <t>tm kasumilt</t>
  </si>
  <si>
    <t>Rd – laenude hind (kui ettevõte maksab tulumaksu kasumilt, siis peab korrigeerima e/v maksumääraga (Tc), ehk (1-Tc)</t>
  </si>
  <si>
    <t>5.</t>
  </si>
  <si>
    <t>kaasatav omakapital</t>
  </si>
  <si>
    <t>beeta</t>
  </si>
  <si>
    <t>AAA reitinguga valitsuse 10. aastased võlakirjade tootlus aastas</t>
  </si>
  <si>
    <t>kupongivõlakirja emissiooni maht</t>
  </si>
  <si>
    <t>kupongivõlakirja periood aastates</t>
  </si>
  <si>
    <t>kupongiintressimäär</t>
  </si>
  <si>
    <t>WACC</t>
  </si>
  <si>
    <t>CAPM:Re=Rf+beeta*(Rm-Rf)</t>
  </si>
  <si>
    <t>tootlus</t>
  </si>
  <si>
    <t>Rm</t>
  </si>
  <si>
    <t>Rf</t>
  </si>
  <si>
    <t>riskivaba tootlus</t>
  </si>
  <si>
    <t>turu keskmine tootlus</t>
  </si>
  <si>
    <t>6.</t>
  </si>
  <si>
    <t>aktsiate emissiooni maht</t>
  </si>
  <si>
    <t>P/B</t>
  </si>
  <si>
    <t>puhaskasum</t>
  </si>
  <si>
    <t>dividendi väljamaksu tase kasumist</t>
  </si>
  <si>
    <t>dividendi kasvumäär</t>
  </si>
  <si>
    <t>kupongivõlakirjade maht</t>
  </si>
  <si>
    <t>kupongivõlakirja nimiväärtus</t>
  </si>
  <si>
    <t>aktsia turuhind</t>
  </si>
  <si>
    <t>oodatav dividend</t>
  </si>
  <si>
    <t>omakapitali hind Re</t>
  </si>
  <si>
    <t>võõrkapitali hind Rd</t>
  </si>
  <si>
    <t>kogukapitali väärtus</t>
  </si>
  <si>
    <t>omakapital bilansi järgi</t>
  </si>
  <si>
    <t>aktsia bilansiline hind</t>
  </si>
  <si>
    <t>aktsia turuväärtus</t>
  </si>
  <si>
    <t>kupongimakse</t>
  </si>
  <si>
    <t>võlakirja väärtus</t>
  </si>
  <si>
    <t>laenukapitali väärtus (võlakirja väärtus x kogus)</t>
  </si>
  <si>
    <t>omakapitali väärtus</t>
  </si>
  <si>
    <t>7.</t>
  </si>
  <si>
    <t>EBIT</t>
  </si>
  <si>
    <t>intressikulud</t>
  </si>
  <si>
    <t>maksustamiseelne kasum</t>
  </si>
  <si>
    <t>tulumaks dividendidelt</t>
  </si>
  <si>
    <t>aktsia P/E</t>
  </si>
  <si>
    <t>puhaskasumi kasvuprognoos</t>
  </si>
  <si>
    <t>intresse kandvad laenud</t>
  </si>
  <si>
    <t>omakapitalilt nõutav tulumäär Re</t>
  </si>
  <si>
    <t>kasum aktsia kohta</t>
  </si>
  <si>
    <t>ligikaudne laenude intressimäär Rd</t>
  </si>
  <si>
    <t>omakapital</t>
  </si>
  <si>
    <t>kogukapital</t>
  </si>
  <si>
    <t>WACCi puhul omakapital aktsiad*aktsia hind, raamatupidamislik omakapital nagu puhaskasum jääb välja</t>
  </si>
  <si>
    <t>WACC arvestab turuväärtust</t>
  </si>
  <si>
    <t>ytm Rd</t>
  </si>
  <si>
    <t>CAPM ehk Re</t>
  </si>
  <si>
    <t>dividendi suurus</t>
  </si>
  <si>
    <t>aktsia nim. väärtus</t>
  </si>
  <si>
    <t>turu keskmine tulumäär Re</t>
  </si>
  <si>
    <t>kupongivõlakirja tulusus tähtajani(YTM) Rd</t>
  </si>
  <si>
    <t>kupongivõlakirjade tootlus aastas YTM Rd</t>
  </si>
  <si>
    <t>andmed</t>
  </si>
  <si>
    <t>Rd</t>
  </si>
  <si>
    <t>1+r=1,0574</t>
  </si>
  <si>
    <t>r=1,0574-1</t>
  </si>
  <si>
    <t>kupongi intressimäär</t>
  </si>
  <si>
    <t>väljamakstav dividend</t>
  </si>
  <si>
    <t>kasumiaruande lühendatud versioon</t>
  </si>
  <si>
    <t>aktsiaid emiteeritud</t>
  </si>
  <si>
    <t>oodatav  dividend</t>
  </si>
  <si>
    <t>kupongivõlakirjade tähtaeg aastates</t>
  </si>
  <si>
    <t xml:space="preserve">WACC leidmine, aktsia turuhinna arvutus, </t>
  </si>
  <si>
    <t>kapital kokku</t>
  </si>
  <si>
    <t>CAPM'i ja WACC'i arvutus andmetega</t>
  </si>
  <si>
    <t>riskitase</t>
  </si>
  <si>
    <t>aastane kupongimakse</t>
  </si>
  <si>
    <t>uute kupongvõlakirjade periood aastates</t>
  </si>
  <si>
    <t>aktsia turuhinna,  võlakirja väärtuse, kogukapitali väärtuse (D + E) ning
ettevõtte kapitali hinna (WACC) leidmine</t>
  </si>
  <si>
    <t>kupongvõlakirja müügi hind 10a tagasi</t>
  </si>
  <si>
    <t>Tulusus tähtajani(YTM) arvutus, laenu hinna leidmine tulumaksumääraga 20%</t>
  </si>
  <si>
    <t>müüdud kupongvõlakirja periood aastates</t>
  </si>
  <si>
    <t>laenu maksujärgne hind</t>
  </si>
  <si>
    <t>võlakirja emissiooni teel kaasatava kapitali hinna(Rd) leidmine</t>
  </si>
  <si>
    <t>emissiooni korraldaja tasu emissiooni nimiväärtusest (%)</t>
  </si>
  <si>
    <t>d.võlakirjade müügihind nimiväärtusest (%)</t>
  </si>
  <si>
    <t>Hangitava kapitali hinna leidmine emissioonikuludega ja ilma</t>
  </si>
  <si>
    <t xml:space="preserve">2. </t>
  </si>
  <si>
    <t>dividendide keskmine kasvumäär edaspidiseks</t>
  </si>
  <si>
    <t>aktsia hind turul, eur</t>
  </si>
  <si>
    <t>makstud dividend aktsia kohta(Div0), eur</t>
  </si>
  <si>
    <t>Omakapitali nõutava tulumäära arvutus(Rd)</t>
  </si>
  <si>
    <t>oodatav dividend Div1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</si>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</sst>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b/>
      <sz val="11.5"/>
      <color theme="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charset val="186"/>
      <scheme val="minor"/>
    </font>
    <font>
      <sz val="22"/>
      <color theme="1"/>
      <name val="Aptos Narrow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quotePrefix="1"/>
    <xf numFmtId="0" fontId="3" fillId="0" borderId="0" xfId="0" applyFont="1"/>
    <xf numFmtId="0" fontId="4" fillId="0" borderId="0" xfId="0" applyFont="1"/>
    <xf numFmtId="9" fontId="0" fillId="0" borderId="0" xfId="0" quotePrefix="1" applyNumberFormat="1"/>
    <xf numFmtId="10" fontId="0" fillId="0" borderId="0" xfId="0" applyNumberFormat="1"/>
    <xf numFmtId="10" fontId="0" fillId="0" borderId="0" xfId="0" quotePrefix="1" applyNumberFormat="1"/>
    <xf numFmtId="0" fontId="7" fillId="0" borderId="0" xfId="0" applyFont="1"/>
    <xf numFmtId="0" fontId="6" fillId="0" borderId="0" xfId="0" applyFont="1"/>
    <xf numFmtId="10" fontId="0" fillId="2" borderId="1" xfId="1" applyNumberFormat="1" applyFont="1" applyFill="1" applyBorder="1"/>
    <xf numFmtId="164" fontId="0" fillId="2" borderId="1" xfId="1" applyNumberFormat="1" applyFont="1" applyFill="1" applyBorder="1"/>
    <xf numFmtId="0" fontId="3" fillId="0" borderId="0" xfId="0" quotePrefix="1" applyFont="1"/>
    <xf numFmtId="0" fontId="0" fillId="0" borderId="3" xfId="0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165" fontId="0" fillId="0" borderId="0" xfId="0" applyNumberFormat="1"/>
    <xf numFmtId="3" fontId="0" fillId="0" borderId="1" xfId="0" applyNumberFormat="1" applyBorder="1"/>
    <xf numFmtId="0" fontId="0" fillId="0" borderId="2" xfId="0" applyBorder="1"/>
    <xf numFmtId="3" fontId="0" fillId="0" borderId="2" xfId="0" applyNumberFormat="1" applyBorder="1"/>
    <xf numFmtId="0" fontId="0" fillId="0" borderId="11" xfId="0" applyBorder="1"/>
    <xf numFmtId="3" fontId="0" fillId="0" borderId="12" xfId="0" applyNumberFormat="1" applyBorder="1"/>
    <xf numFmtId="0" fontId="0" fillId="0" borderId="13" xfId="0" applyBorder="1"/>
    <xf numFmtId="3" fontId="0" fillId="0" borderId="14" xfId="0" applyNumberFormat="1" applyBorder="1"/>
    <xf numFmtId="4" fontId="0" fillId="0" borderId="1" xfId="0" applyNumberFormat="1" applyBorder="1"/>
    <xf numFmtId="0" fontId="0" fillId="0" borderId="15" xfId="0" applyBorder="1"/>
    <xf numFmtId="0" fontId="0" fillId="2" borderId="16" xfId="0" applyFill="1" applyBorder="1"/>
    <xf numFmtId="0" fontId="0" fillId="2" borderId="12" xfId="0" applyFill="1" applyBorder="1"/>
    <xf numFmtId="164" fontId="0" fillId="2" borderId="12" xfId="1" applyNumberFormat="1" applyFont="1" applyFill="1" applyBorder="1"/>
    <xf numFmtId="9" fontId="0" fillId="2" borderId="12" xfId="1" applyFont="1" applyFill="1" applyBorder="1"/>
    <xf numFmtId="2" fontId="0" fillId="2" borderId="12" xfId="0" applyNumberFormat="1" applyFill="1" applyBorder="1"/>
    <xf numFmtId="10" fontId="0" fillId="2" borderId="14" xfId="1" applyNumberFormat="1" applyFont="1" applyFill="1" applyBorder="1"/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5" borderId="1" xfId="0" applyFill="1" applyBorder="1"/>
    <xf numFmtId="9" fontId="0" fillId="5" borderId="1" xfId="0" applyNumberFormat="1" applyFill="1" applyBorder="1"/>
    <xf numFmtId="0" fontId="8" fillId="0" borderId="17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0" fontId="8" fillId="0" borderId="24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71</xdr:row>
      <xdr:rowOff>26670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CCB142-01D1-1F8B-0BC5-2537184FD632}"/>
            </a:ext>
          </a:extLst>
        </xdr:cNvPr>
        <xdr:cNvSpPr txBox="1"/>
      </xdr:nvSpPr>
      <xdr:spPr>
        <a:xfrm>
          <a:off x="2781300" y="84543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t-EE" sz="1100" b="0"/>
        </a:p>
      </xdr:txBody>
    </xdr:sp>
    <xdr:clientData/>
  </xdr:oneCellAnchor>
  <xdr:oneCellAnchor>
    <xdr:from>
      <xdr:col>0</xdr:col>
      <xdr:colOff>1211580</xdr:colOff>
      <xdr:row>71</xdr:row>
      <xdr:rowOff>11430</xdr:rowOff>
    </xdr:from>
    <xdr:ext cx="1786130" cy="4412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7934A76-BD4A-D2AF-B6B1-1D01A8BF24ED}"/>
                </a:ext>
              </a:extLst>
            </xdr:cNvPr>
            <xdr:cNvSpPr txBox="1"/>
          </xdr:nvSpPr>
          <xdr:spPr>
            <a:xfrm>
              <a:off x="1211580" y="8454390"/>
              <a:ext cx="1786130" cy="4412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t-EE" sz="1800"/>
                <a:t>YTM(%)=</a:t>
              </a:r>
              <a14:m>
                <m:oMath xmlns:m="http://schemas.openxmlformats.org/officeDocument/2006/math">
                  <m:f>
                    <m:fPr>
                      <m:ctrlPr>
                        <a:rPr lang="et-EE" sz="18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t-EE" sz="1800" b="0" i="1">
                          <a:latin typeface="Cambria Math" panose="02040503050406030204" pitchFamily="18" charset="0"/>
                        </a:rPr>
                        <m:t>𝐶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+(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𝐹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𝑉</m:t>
                      </m:r>
                      <m:r>
                        <a:rPr lang="et-EE" sz="1800" b="0" i="1" baseline="-25000">
                          <a:latin typeface="Cambria Math" panose="02040503050406030204" pitchFamily="18" charset="0"/>
                        </a:rPr>
                        <m:t>0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)/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𝑇</m:t>
                      </m:r>
                    </m:num>
                    <m:den>
                      <m:r>
                        <a:rPr lang="et-EE" sz="18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𝐹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𝑉</m:t>
                      </m:r>
                      <m:r>
                        <a:rPr lang="et-EE" sz="1800" b="0" i="1" baseline="-25000">
                          <a:latin typeface="Cambria Math" panose="02040503050406030204" pitchFamily="18" charset="0"/>
                        </a:rPr>
                        <m:t>0</m:t>
                      </m:r>
                      <m:r>
                        <a:rPr lang="et-EE" sz="1800" b="0" i="1">
                          <a:latin typeface="Cambria Math" panose="02040503050406030204" pitchFamily="18" charset="0"/>
                        </a:rPr>
                        <m:t>)/2</m:t>
                      </m:r>
                    </m:den>
                  </m:f>
                </m:oMath>
              </a14:m>
              <a:endParaRPr lang="en-US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7934A76-BD4A-D2AF-B6B1-1D01A8BF24ED}"/>
                </a:ext>
              </a:extLst>
            </xdr:cNvPr>
            <xdr:cNvSpPr txBox="1"/>
          </xdr:nvSpPr>
          <xdr:spPr>
            <a:xfrm>
              <a:off x="1211580" y="8454390"/>
              <a:ext cx="1786130" cy="4412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t-EE" sz="1800"/>
                <a:t>YTM(%)=</a:t>
              </a:r>
              <a:r>
                <a:rPr lang="et-EE" sz="1800" b="0" i="0">
                  <a:latin typeface="Cambria Math" panose="02040503050406030204" pitchFamily="18" charset="0"/>
                </a:rPr>
                <a:t>(𝐶+(𝐹−𝑉</a:t>
              </a:r>
              <a:r>
                <a:rPr lang="et-EE" sz="1800" b="0" i="0" baseline="-25000">
                  <a:latin typeface="Cambria Math" panose="02040503050406030204" pitchFamily="18" charset="0"/>
                </a:rPr>
                <a:t>0</a:t>
              </a:r>
              <a:r>
                <a:rPr lang="et-EE" sz="1800" b="0" i="0">
                  <a:latin typeface="Cambria Math" panose="02040503050406030204" pitchFamily="18" charset="0"/>
                </a:rPr>
                <a:t>)/𝑇)/((𝐹+𝑉</a:t>
              </a:r>
              <a:r>
                <a:rPr lang="et-EE" sz="1800" b="0" i="0" baseline="-25000">
                  <a:latin typeface="Cambria Math" panose="02040503050406030204" pitchFamily="18" charset="0"/>
                </a:rPr>
                <a:t>0</a:t>
              </a:r>
              <a:r>
                <a:rPr lang="et-EE" sz="1800" b="0" i="0">
                  <a:latin typeface="Cambria Math" panose="02040503050406030204" pitchFamily="18" charset="0"/>
                </a:rPr>
                <a:t>)/2)</a:t>
              </a:r>
              <a:endParaRPr lang="en-US" sz="18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kus Lüllman" id="{AAC4DFBB-FE21-49D8-AC85-13871BD64F60}" userId="598c36b14c3f46f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6" dT="2026-07-16T15:52:50.23" personId="{AAC4DFBB-FE21-49D8-AC85-13871BD64F60}" id="{E9D6A1F8-F7CA-464B-8602-13452237D8FC}">
    <text>puhaskasum makstakse tulevikus välja dividendidena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5D15-E593-4E40-A055-2B59B748E104}">
  <dimension ref="A1:H164"/>
  <sheetViews>
    <sheetView tabSelected="1" topLeftCell="A80" zoomScale="86" workbookViewId="0">
      <selection activeCell="M119" sqref="M119"/>
    </sheetView>
  </sheetViews>
  <sheetFormatPr defaultRowHeight="14.4" x14ac:dyDescent="0.3"/>
  <cols>
    <col min="1" max="1" width="41.6640625" customWidth="1"/>
    <col min="2" max="2" width="15.77734375" bestFit="1" customWidth="1"/>
    <col min="4" max="4" width="21.44140625" bestFit="1" customWidth="1"/>
    <col min="5" max="5" width="25" bestFit="1" customWidth="1"/>
  </cols>
  <sheetData>
    <row r="1" spans="1:7" x14ac:dyDescent="0.3">
      <c r="A1" t="s">
        <v>0</v>
      </c>
      <c r="D1" s="42" t="s">
        <v>130</v>
      </c>
      <c r="E1" s="43"/>
      <c r="F1" s="43"/>
      <c r="G1" s="44"/>
    </row>
    <row r="2" spans="1:7" x14ac:dyDescent="0.3">
      <c r="D2" s="45"/>
      <c r="E2" s="46"/>
      <c r="F2" s="46"/>
      <c r="G2" s="47"/>
    </row>
    <row r="3" spans="1:7" x14ac:dyDescent="0.3">
      <c r="D3" s="45"/>
      <c r="E3" s="46"/>
      <c r="F3" s="46"/>
      <c r="G3" s="47"/>
    </row>
    <row r="4" spans="1:7" ht="15" thickBot="1" x14ac:dyDescent="0.35">
      <c r="D4" s="48"/>
      <c r="E4" s="49"/>
      <c r="F4" s="49"/>
      <c r="G4" s="50"/>
    </row>
    <row r="5" spans="1:7" x14ac:dyDescent="0.3">
      <c r="D5" s="1" t="s">
        <v>3</v>
      </c>
    </row>
    <row r="6" spans="1:7" x14ac:dyDescent="0.3">
      <c r="A6" s="51" t="s">
        <v>101</v>
      </c>
      <c r="B6" s="52"/>
      <c r="D6" t="s">
        <v>4</v>
      </c>
    </row>
    <row r="7" spans="1:7" x14ac:dyDescent="0.3">
      <c r="A7" s="13" t="s">
        <v>129</v>
      </c>
      <c r="B7" s="13">
        <v>2.2000000000000002</v>
      </c>
      <c r="D7" s="2" t="s">
        <v>5</v>
      </c>
    </row>
    <row r="8" spans="1:7" x14ac:dyDescent="0.3">
      <c r="A8" s="13" t="s">
        <v>127</v>
      </c>
      <c r="B8" s="13">
        <v>0.04</v>
      </c>
      <c r="D8" t="s">
        <v>6</v>
      </c>
    </row>
    <row r="9" spans="1:7" x14ac:dyDescent="0.3">
      <c r="A9" s="13" t="s">
        <v>128</v>
      </c>
      <c r="B9" s="13">
        <v>24</v>
      </c>
      <c r="D9" t="s">
        <v>7</v>
      </c>
    </row>
    <row r="10" spans="1:7" x14ac:dyDescent="0.3">
      <c r="A10" s="13" t="s">
        <v>131</v>
      </c>
      <c r="B10" s="13">
        <f>makstud_dividend_aktsia_kohta_Div0___eur*(1+dividendide_keskmine_kasvumäär_edaspidiseks)</f>
        <v>2.2880000000000003</v>
      </c>
      <c r="C10" t="str">
        <f ca="1">_xlfn.FORMULATEXT(oodatav_dividend_Div1)</f>
        <v>=makstud_dividend_aktsia_kohta_Div0___eur*(1+dividendide_keskmine_kasvumäär_edaspidiseks)</v>
      </c>
    </row>
    <row r="11" spans="1:7" x14ac:dyDescent="0.3">
      <c r="A11" s="3"/>
    </row>
    <row r="12" spans="1:7" x14ac:dyDescent="0.3">
      <c r="A12" s="13" t="s">
        <v>1</v>
      </c>
      <c r="B12" s="9">
        <f>(oodatav_dividend_Div1/aktsia_hind_turul)+dividendide_keskmine_kasvumäär_edaspidiseks</f>
        <v>0.13533333333333333</v>
      </c>
      <c r="C12" t="str">
        <f ca="1">_xlfn.FORMULATEXT(B12)</f>
        <v>=(oodatav_dividend_Div1/aktsia_hind_turul)+dividendide_keskmine_kasvumäär_edaspidiseks</v>
      </c>
    </row>
    <row r="13" spans="1:7" s="12" customFormat="1" ht="15" thickBot="1" x14ac:dyDescent="0.35">
      <c r="D13"/>
      <c r="E13"/>
      <c r="F13"/>
      <c r="G13"/>
    </row>
    <row r="14" spans="1:7" x14ac:dyDescent="0.3">
      <c r="A14" s="3" t="s">
        <v>126</v>
      </c>
      <c r="D14" s="42" t="s">
        <v>125</v>
      </c>
      <c r="E14" s="43"/>
      <c r="F14" s="43"/>
      <c r="G14" s="44"/>
    </row>
    <row r="15" spans="1:7" x14ac:dyDescent="0.3">
      <c r="D15" s="45"/>
      <c r="E15" s="46"/>
      <c r="F15" s="46"/>
      <c r="G15" s="47"/>
    </row>
    <row r="16" spans="1:7" x14ac:dyDescent="0.3">
      <c r="D16" s="45"/>
      <c r="E16" s="46"/>
      <c r="F16" s="46"/>
      <c r="G16" s="47"/>
    </row>
    <row r="17" spans="1:7" x14ac:dyDescent="0.3">
      <c r="D17" s="45"/>
      <c r="E17" s="46"/>
      <c r="F17" s="46"/>
      <c r="G17" s="47"/>
    </row>
    <row r="18" spans="1:7" ht="15" thickBot="1" x14ac:dyDescent="0.35">
      <c r="A18" s="55" t="s">
        <v>101</v>
      </c>
      <c r="B18" s="55"/>
      <c r="D18" s="48"/>
      <c r="E18" s="49"/>
      <c r="F18" s="49"/>
      <c r="G18" s="50"/>
    </row>
    <row r="19" spans="1:7" x14ac:dyDescent="0.3">
      <c r="A19" s="13" t="s">
        <v>8</v>
      </c>
      <c r="B19" s="13">
        <v>105</v>
      </c>
      <c r="C19" t="s">
        <v>14</v>
      </c>
    </row>
    <row r="20" spans="1:7" x14ac:dyDescent="0.3">
      <c r="A20" s="13" t="s">
        <v>9</v>
      </c>
      <c r="B20" s="13">
        <v>92</v>
      </c>
    </row>
    <row r="21" spans="1:7" x14ac:dyDescent="0.3">
      <c r="A21" s="13" t="s">
        <v>10</v>
      </c>
      <c r="B21" s="13">
        <v>100</v>
      </c>
    </row>
    <row r="22" spans="1:7" x14ac:dyDescent="0.3">
      <c r="A22" s="13" t="s">
        <v>11</v>
      </c>
      <c r="B22" s="13">
        <v>0.1</v>
      </c>
    </row>
    <row r="23" spans="1:7" x14ac:dyDescent="0.3">
      <c r="A23" s="13" t="s">
        <v>13</v>
      </c>
      <c r="B23" s="13">
        <f>dividendimäär*aktsia_nimiväärtus</f>
        <v>10</v>
      </c>
      <c r="C23" t="str">
        <f ca="1">_xlfn.FORMULATEXT(dividend)</f>
        <v>=dividendimäär*aktsia_nimiväärtus</v>
      </c>
    </row>
    <row r="25" spans="1:7" ht="30" x14ac:dyDescent="0.3">
      <c r="A25" s="14" t="s">
        <v>12</v>
      </c>
      <c r="B25" s="9">
        <f>dividend/hind_emissioonikulude_mahaarvestamisel</f>
        <v>0.10869565217391304</v>
      </c>
      <c r="C25" t="str">
        <f ca="1">_xlfn.FORMULATEXT(B25)</f>
        <v>=dividend/hind_emissioonikulude_mahaarvestamisel</v>
      </c>
      <c r="G25" s="11" t="s">
        <v>3</v>
      </c>
    </row>
    <row r="26" spans="1:7" x14ac:dyDescent="0.3">
      <c r="A26" s="15" t="s">
        <v>15</v>
      </c>
      <c r="B26" s="9">
        <f>dividend/müügihind_eelisaktsiate_emissioonil</f>
        <v>9.5238095238095233E-2</v>
      </c>
      <c r="C26" t="str">
        <f t="shared" ref="C26" ca="1" si="0">_xlfn.FORMULATEXT(B26)</f>
        <v>=dividend/müügihind_eelisaktsiate_emissioonil</v>
      </c>
    </row>
    <row r="28" spans="1:7" s="12" customFormat="1" ht="15" thickBot="1" x14ac:dyDescent="0.35">
      <c r="D28"/>
      <c r="E28"/>
      <c r="F28"/>
      <c r="G28"/>
    </row>
    <row r="29" spans="1:7" x14ac:dyDescent="0.3">
      <c r="A29" s="3" t="s">
        <v>16</v>
      </c>
      <c r="D29" s="42" t="s">
        <v>122</v>
      </c>
      <c r="E29" s="43"/>
      <c r="F29" s="43"/>
      <c r="G29" s="44"/>
    </row>
    <row r="30" spans="1:7" x14ac:dyDescent="0.3">
      <c r="A30" s="3"/>
      <c r="D30" s="45"/>
      <c r="E30" s="46"/>
      <c r="F30" s="46"/>
      <c r="G30" s="47"/>
    </row>
    <row r="31" spans="1:7" x14ac:dyDescent="0.3">
      <c r="A31" s="3"/>
      <c r="D31" s="45"/>
      <c r="E31" s="46"/>
      <c r="F31" s="46"/>
      <c r="G31" s="47"/>
    </row>
    <row r="32" spans="1:7" x14ac:dyDescent="0.3">
      <c r="A32" s="3"/>
      <c r="D32" s="45"/>
      <c r="E32" s="46"/>
      <c r="F32" s="46"/>
      <c r="G32" s="47"/>
    </row>
    <row r="33" spans="1:7" x14ac:dyDescent="0.3">
      <c r="A33" s="3"/>
      <c r="D33" s="45"/>
      <c r="E33" s="46"/>
      <c r="F33" s="46"/>
      <c r="G33" s="47"/>
    </row>
    <row r="34" spans="1:7" x14ac:dyDescent="0.3">
      <c r="A34" s="3"/>
      <c r="D34" s="45"/>
      <c r="E34" s="46"/>
      <c r="F34" s="46"/>
      <c r="G34" s="47"/>
    </row>
    <row r="35" spans="1:7" ht="15" thickBot="1" x14ac:dyDescent="0.35">
      <c r="A35" s="3"/>
      <c r="D35" s="48"/>
      <c r="E35" s="49"/>
      <c r="F35" s="49"/>
      <c r="G35" s="50"/>
    </row>
    <row r="36" spans="1:7" x14ac:dyDescent="0.3">
      <c r="A36" s="3"/>
    </row>
    <row r="37" spans="1:7" x14ac:dyDescent="0.3">
      <c r="A37" s="3"/>
    </row>
    <row r="38" spans="1:7" x14ac:dyDescent="0.3">
      <c r="A38" s="56" t="s">
        <v>101</v>
      </c>
      <c r="B38" s="56"/>
    </row>
    <row r="39" spans="1:7" x14ac:dyDescent="0.3">
      <c r="A39" s="13" t="s">
        <v>17</v>
      </c>
      <c r="B39" s="13">
        <v>10</v>
      </c>
      <c r="D39" s="4"/>
    </row>
    <row r="40" spans="1:7" x14ac:dyDescent="0.3">
      <c r="A40" s="13" t="s">
        <v>124</v>
      </c>
      <c r="B40" s="13">
        <v>0.82499999999999996</v>
      </c>
      <c r="D40" s="4"/>
    </row>
    <row r="41" spans="1:7" x14ac:dyDescent="0.3">
      <c r="A41" s="13" t="s">
        <v>18</v>
      </c>
      <c r="B41" s="13">
        <f>diskontovõlakirjade_emissiooni_kogusumma*d.võlakirjade_müügihinna_osakaal_nimiväärtusest</f>
        <v>8.25</v>
      </c>
      <c r="C41" t="str">
        <f ca="1">_xlfn.FORMULATEXT(võlakirjade_müügihind_investoritele)</f>
        <v>=diskontovõlakirjade_emissiooni_kogusumma*d.võlakirjade_müügihinna_osakaal_nimiväärtusest</v>
      </c>
      <c r="D41" s="5"/>
    </row>
    <row r="42" spans="1:7" x14ac:dyDescent="0.3">
      <c r="A42" s="13" t="s">
        <v>19</v>
      </c>
      <c r="B42" s="13">
        <v>4</v>
      </c>
    </row>
    <row r="43" spans="1:7" ht="28.8" x14ac:dyDescent="0.3">
      <c r="A43" s="32" t="s">
        <v>123</v>
      </c>
      <c r="B43" s="13">
        <v>2.5000000000000001E-2</v>
      </c>
    </row>
    <row r="44" spans="1:7" x14ac:dyDescent="0.3">
      <c r="A44" s="13" t="s">
        <v>20</v>
      </c>
      <c r="B44" s="13">
        <f>emissiooni_korraldaja_tasu_emissiooni_nimiväärtusest*diskontovõlakirjade_emissiooni_kogusumma</f>
        <v>0.25</v>
      </c>
      <c r="C44" t="str">
        <f ca="1">_xlfn.FORMULATEXT(tasu_investeerimispangale)</f>
        <v>=emissiooni_korraldaja_tasu_emissiooni_nimiväärtusest*diskontovõlakirjade_emissiooni_kogusumma</v>
      </c>
    </row>
    <row r="45" spans="1:7" x14ac:dyDescent="0.3">
      <c r="A45" s="13" t="s">
        <v>21</v>
      </c>
      <c r="B45" s="13">
        <f>diskontovõlakirjade_emissiooni_kogusumma+tasu_investeerimispangale-võlakirjade_müügihind_investoritele</f>
        <v>2</v>
      </c>
      <c r="C45" s="1" t="str">
        <f ca="1">_xlfn.FORMULATEXT(B45)</f>
        <v>=diskontovõlakirjade_emissiooni_kogusumma+tasu_investeerimispangale-võlakirjade_müügihind_investoritele</v>
      </c>
    </row>
    <row r="46" spans="1:7" x14ac:dyDescent="0.3">
      <c r="A46" s="13" t="s">
        <v>22</v>
      </c>
      <c r="B46" s="13">
        <f>diskontovõlakirjade_emissiooni_kogusumma-tasu</f>
        <v>8</v>
      </c>
      <c r="C46" t="str">
        <f ca="1">_xlfn.FORMULATEXT(ettevõte_saab_kätte)</f>
        <v>=diskontovõlakirjade_emissiooni_kogusumma-tasu</v>
      </c>
    </row>
    <row r="47" spans="1:7" x14ac:dyDescent="0.3">
      <c r="A47" s="2" t="s">
        <v>35</v>
      </c>
    </row>
    <row r="48" spans="1:7" x14ac:dyDescent="0.3">
      <c r="A48" t="s">
        <v>23</v>
      </c>
      <c r="B48" s="1" t="s">
        <v>24</v>
      </c>
    </row>
    <row r="49" spans="1:7" x14ac:dyDescent="0.3">
      <c r="B49" s="6" t="s">
        <v>25</v>
      </c>
    </row>
    <row r="50" spans="1:7" x14ac:dyDescent="0.3">
      <c r="B50" s="1" t="s">
        <v>26</v>
      </c>
    </row>
    <row r="51" spans="1:7" x14ac:dyDescent="0.3">
      <c r="B51" t="s">
        <v>27</v>
      </c>
      <c r="C51" s="16"/>
    </row>
    <row r="52" spans="1:7" x14ac:dyDescent="0.3">
      <c r="B52" s="1" t="s">
        <v>103</v>
      </c>
    </row>
    <row r="53" spans="1:7" x14ac:dyDescent="0.3">
      <c r="B53" s="1" t="s">
        <v>104</v>
      </c>
    </row>
    <row r="54" spans="1:7" x14ac:dyDescent="0.3">
      <c r="A54" s="15" t="s">
        <v>102</v>
      </c>
      <c r="B54" s="9">
        <f>1.25^0.25-1</f>
        <v>5.7371263440564091E-2</v>
      </c>
      <c r="C54" t="str">
        <f ca="1">_xlfn.FORMULATEXT(B54)</f>
        <v>=1,25^0,25-1</v>
      </c>
    </row>
    <row r="55" spans="1:7" s="12" customFormat="1" ht="15" thickBot="1" x14ac:dyDescent="0.35">
      <c r="D55"/>
      <c r="E55"/>
      <c r="F55"/>
      <c r="G55"/>
    </row>
    <row r="56" spans="1:7" ht="25.8" customHeight="1" x14ac:dyDescent="0.3">
      <c r="A56" t="s">
        <v>28</v>
      </c>
      <c r="D56" s="42" t="s">
        <v>119</v>
      </c>
      <c r="E56" s="43"/>
      <c r="F56" s="43"/>
      <c r="G56" s="44"/>
    </row>
    <row r="57" spans="1:7" x14ac:dyDescent="0.3">
      <c r="D57" s="45"/>
      <c r="E57" s="46"/>
      <c r="F57" s="46"/>
      <c r="G57" s="47"/>
    </row>
    <row r="58" spans="1:7" x14ac:dyDescent="0.3">
      <c r="D58" s="45"/>
      <c r="E58" s="46"/>
      <c r="F58" s="46"/>
      <c r="G58" s="47"/>
    </row>
    <row r="59" spans="1:7" x14ac:dyDescent="0.3">
      <c r="D59" s="45"/>
      <c r="E59" s="46"/>
      <c r="F59" s="46"/>
      <c r="G59" s="47"/>
    </row>
    <row r="60" spans="1:7" ht="15" thickBot="1" x14ac:dyDescent="0.35">
      <c r="D60" s="48"/>
      <c r="E60" s="49"/>
      <c r="F60" s="49"/>
      <c r="G60" s="50"/>
    </row>
    <row r="61" spans="1:7" x14ac:dyDescent="0.3">
      <c r="A61" s="53" t="s">
        <v>101</v>
      </c>
      <c r="B61" s="54"/>
    </row>
    <row r="62" spans="1:7" x14ac:dyDescent="0.3">
      <c r="A62" s="13" t="s">
        <v>120</v>
      </c>
      <c r="B62" s="13">
        <v>20</v>
      </c>
    </row>
    <row r="63" spans="1:7" x14ac:dyDescent="0.3">
      <c r="A63" s="13" t="s">
        <v>29</v>
      </c>
      <c r="B63" s="13">
        <v>0.05</v>
      </c>
    </row>
    <row r="64" spans="1:7" x14ac:dyDescent="0.3">
      <c r="A64" s="13" t="s">
        <v>118</v>
      </c>
      <c r="B64" s="13">
        <v>1050</v>
      </c>
    </row>
    <row r="65" spans="1:8" ht="15.6" x14ac:dyDescent="0.35">
      <c r="A65" s="13" t="s">
        <v>30</v>
      </c>
      <c r="B65" s="13">
        <v>860</v>
      </c>
      <c r="H65" s="7"/>
    </row>
    <row r="66" spans="1:8" ht="15.6" x14ac:dyDescent="0.35">
      <c r="A66" s="13" t="s">
        <v>116</v>
      </c>
      <c r="B66" s="13">
        <v>10</v>
      </c>
      <c r="H66" s="7"/>
    </row>
    <row r="67" spans="1:8" x14ac:dyDescent="0.3">
      <c r="A67" s="13" t="s">
        <v>31</v>
      </c>
      <c r="B67" s="13">
        <v>1000</v>
      </c>
    </row>
    <row r="68" spans="1:8" x14ac:dyDescent="0.3">
      <c r="A68" s="13" t="s">
        <v>32</v>
      </c>
      <c r="B68" s="13">
        <v>1000</v>
      </c>
    </row>
    <row r="69" spans="1:8" x14ac:dyDescent="0.3">
      <c r="A69" s="13" t="s">
        <v>115</v>
      </c>
      <c r="B69" s="13">
        <f>kupongvõlakirja_nimiväärtus*kupongiintress</f>
        <v>50</v>
      </c>
    </row>
    <row r="70" spans="1:8" x14ac:dyDescent="0.3">
      <c r="A70" s="13" t="s">
        <v>43</v>
      </c>
      <c r="B70" s="13">
        <v>0.2</v>
      </c>
    </row>
    <row r="72" spans="1:8" x14ac:dyDescent="0.3">
      <c r="A72" s="33"/>
      <c r="B72" s="34"/>
      <c r="C72" s="34" t="s">
        <v>36</v>
      </c>
      <c r="D72" s="35" t="s">
        <v>34</v>
      </c>
    </row>
    <row r="73" spans="1:8" x14ac:dyDescent="0.3">
      <c r="A73" s="36"/>
      <c r="C73" t="s">
        <v>37</v>
      </c>
      <c r="D73" s="37" t="s">
        <v>38</v>
      </c>
    </row>
    <row r="74" spans="1:8" ht="15.6" x14ac:dyDescent="0.35">
      <c r="A74" s="36"/>
      <c r="C74" t="s">
        <v>39</v>
      </c>
      <c r="D74" s="37" t="s">
        <v>40</v>
      </c>
    </row>
    <row r="75" spans="1:8" x14ac:dyDescent="0.3">
      <c r="A75" s="38"/>
      <c r="B75" s="12"/>
      <c r="C75" s="12" t="s">
        <v>41</v>
      </c>
      <c r="D75" s="39" t="s">
        <v>42</v>
      </c>
    </row>
    <row r="77" spans="1:8" x14ac:dyDescent="0.3">
      <c r="A77" s="40" t="s">
        <v>33</v>
      </c>
      <c r="B77" s="40"/>
    </row>
    <row r="78" spans="1:8" x14ac:dyDescent="0.3">
      <c r="A78" s="13" t="s">
        <v>94</v>
      </c>
      <c r="B78" s="9">
        <f>(aastane_kupongimakse+(kupongvõlakirja_nimiväärtus-kupongvõlakirja_turuhind_praegu)/uute_kupongvõlakirjade_periood_aastates)/((kupongvõlakirja_nimiväärtus+kupongvõlakirja_turuhind_praegu)/2)</f>
        <v>6.8817204301075269E-2</v>
      </c>
      <c r="C78" t="str">
        <f ca="1">_xlfn.FORMULATEXT(B78)</f>
        <v>=(aastane_kupongimakse+(kupongvõlakirja_nimiväärtus-kupongvõlakirja_turuhind_praegu)/uute_kupongvõlakirjade_periood_aastates)/((kupongvõlakirja_nimiväärtus+kupongvõlakirja_turuhind_praegu)/2)</v>
      </c>
    </row>
    <row r="79" spans="1:8" x14ac:dyDescent="0.3">
      <c r="A79" s="40" t="s">
        <v>121</v>
      </c>
      <c r="B79" s="41"/>
    </row>
    <row r="80" spans="1:8" ht="43.2" x14ac:dyDescent="0.3">
      <c r="A80" s="32" t="s">
        <v>44</v>
      </c>
      <c r="B80" s="9">
        <f>ytm*(1-tm_kasumilt)</f>
        <v>5.5053763440860215E-2</v>
      </c>
      <c r="C80" t="str">
        <f ca="1">_xlfn.FORMULATEXT(B80)</f>
        <v>=ytm*(1-tm_kasumilt)</v>
      </c>
    </row>
    <row r="81" spans="1:7" s="12" customFormat="1" ht="15" thickBot="1" x14ac:dyDescent="0.35">
      <c r="D81"/>
      <c r="E81"/>
      <c r="F81"/>
      <c r="G81"/>
    </row>
    <row r="82" spans="1:7" x14ac:dyDescent="0.3">
      <c r="A82" s="3" t="s">
        <v>45</v>
      </c>
      <c r="D82" s="57" t="s">
        <v>113</v>
      </c>
      <c r="E82" s="58"/>
      <c r="F82" s="58"/>
      <c r="G82" s="59"/>
    </row>
    <row r="83" spans="1:7" x14ac:dyDescent="0.3">
      <c r="A83" s="3"/>
      <c r="D83" s="60"/>
      <c r="E83" s="61"/>
      <c r="F83" s="61"/>
      <c r="G83" s="62"/>
    </row>
    <row r="84" spans="1:7" x14ac:dyDescent="0.3">
      <c r="A84" s="3"/>
      <c r="D84" s="60"/>
      <c r="E84" s="61"/>
      <c r="F84" s="61"/>
      <c r="G84" s="62"/>
    </row>
    <row r="85" spans="1:7" x14ac:dyDescent="0.3">
      <c r="A85" s="3"/>
      <c r="D85" s="60"/>
      <c r="E85" s="61"/>
      <c r="F85" s="61"/>
      <c r="G85" s="62"/>
    </row>
    <row r="86" spans="1:7" x14ac:dyDescent="0.3">
      <c r="A86" s="3"/>
      <c r="D86" s="60"/>
      <c r="E86" s="61"/>
      <c r="F86" s="61"/>
      <c r="G86" s="62"/>
    </row>
    <row r="87" spans="1:7" ht="15" thickBot="1" x14ac:dyDescent="0.35">
      <c r="A87" s="79" t="s">
        <v>101</v>
      </c>
      <c r="B87" s="79"/>
      <c r="D87" s="63"/>
      <c r="E87" s="64"/>
      <c r="F87" s="64"/>
      <c r="G87" s="65"/>
    </row>
    <row r="88" spans="1:7" x14ac:dyDescent="0.3">
      <c r="A88" s="13" t="s">
        <v>46</v>
      </c>
      <c r="B88" s="17">
        <v>600000</v>
      </c>
    </row>
    <row r="89" spans="1:7" x14ac:dyDescent="0.3">
      <c r="A89" s="13" t="s">
        <v>47</v>
      </c>
      <c r="B89" s="13">
        <v>1</v>
      </c>
    </row>
    <row r="90" spans="1:7" x14ac:dyDescent="0.3">
      <c r="A90" s="13" t="s">
        <v>98</v>
      </c>
      <c r="B90" s="13">
        <v>0.12</v>
      </c>
    </row>
    <row r="91" spans="1:7" ht="28.8" x14ac:dyDescent="0.3">
      <c r="A91" s="32" t="s">
        <v>48</v>
      </c>
      <c r="B91" s="13">
        <v>4.4999999999999998E-2</v>
      </c>
      <c r="D91" s="80" t="s">
        <v>53</v>
      </c>
      <c r="E91" s="81"/>
    </row>
    <row r="92" spans="1:7" x14ac:dyDescent="0.3">
      <c r="A92" s="13" t="s">
        <v>49</v>
      </c>
      <c r="B92" s="17">
        <v>400000</v>
      </c>
      <c r="D92" s="15" t="s">
        <v>2</v>
      </c>
      <c r="E92" s="13" t="s">
        <v>54</v>
      </c>
    </row>
    <row r="93" spans="1:7" x14ac:dyDescent="0.3">
      <c r="A93" s="13" t="s">
        <v>112</v>
      </c>
      <c r="B93" s="17">
        <f>kupongivõlakirja_emissiooni_maht+kaasatav_omakapital</f>
        <v>1000000</v>
      </c>
      <c r="D93" s="15" t="s">
        <v>47</v>
      </c>
      <c r="E93" s="13" t="s">
        <v>114</v>
      </c>
    </row>
    <row r="94" spans="1:7" x14ac:dyDescent="0.3">
      <c r="A94" s="13" t="s">
        <v>50</v>
      </c>
      <c r="B94" s="13">
        <v>6</v>
      </c>
      <c r="D94" s="15" t="s">
        <v>55</v>
      </c>
      <c r="E94" s="13" t="s">
        <v>58</v>
      </c>
    </row>
    <row r="95" spans="1:7" x14ac:dyDescent="0.3">
      <c r="A95" s="13" t="s">
        <v>105</v>
      </c>
      <c r="B95" s="13">
        <v>0.05</v>
      </c>
      <c r="D95" s="15" t="s">
        <v>56</v>
      </c>
      <c r="E95" s="13" t="s">
        <v>57</v>
      </c>
    </row>
    <row r="96" spans="1:7" x14ac:dyDescent="0.3">
      <c r="A96" s="13" t="s">
        <v>99</v>
      </c>
      <c r="B96" s="13">
        <v>6.5000000000000002E-2</v>
      </c>
    </row>
    <row r="97" spans="1:7" x14ac:dyDescent="0.3">
      <c r="A97" s="13" t="s">
        <v>34</v>
      </c>
      <c r="B97" s="13">
        <f>kupongi_intressimäär*kupongivõlakirja_emissiooni_maht</f>
        <v>20000</v>
      </c>
      <c r="C97" t="str">
        <f ca="1">_xlfn.FORMULATEXT(kupongimaksed_aastas)</f>
        <v>=kupongi_intressimäär*kupongivõlakirja_emissiooni_maht</v>
      </c>
    </row>
    <row r="99" spans="1:7" x14ac:dyDescent="0.3">
      <c r="A99" s="15" t="s">
        <v>95</v>
      </c>
      <c r="B99" s="10">
        <f>AAA_reitinguga_valitsuse_10._aastased_võlakirjade_tootlus_aastas+beeta*(turu_keskmine_tulumäär_Re-AAA_reitinguga_valitsuse_10._aastased_võlakirjade_tootlus_aastas)</f>
        <v>0.12</v>
      </c>
      <c r="C99" t="str">
        <f ca="1">_xlfn.FORMULATEXT(B99)</f>
        <v>=AAA_reitinguga_valitsuse_10._aastased_võlakirjade_tootlus_aastas+beeta*(turu_keskmine_tulumäär_Re-AAA_reitinguga_valitsuse_10._aastased_võlakirjade_tootlus_aastas)</v>
      </c>
    </row>
    <row r="100" spans="1:7" x14ac:dyDescent="0.3">
      <c r="A100" s="13" t="s">
        <v>52</v>
      </c>
      <c r="B100" s="10">
        <f>(kaasatav_omakapital/kapital_kokku)*turu_keskmine_tulumäär_Re+(kupongivõlakirja_emissiooni_maht/kapital_kokku)*kupongivõlakirja_tulusus_tähtajani_YTM__Rd</f>
        <v>9.8000000000000004E-2</v>
      </c>
      <c r="C100" t="str">
        <f ca="1">_xlfn.FORMULATEXT(B100)</f>
        <v>=(kaasatav_omakapital/kapital_kokku)*turu_keskmine_tulumäär_Re+(kupongivõlakirja_emissiooni_maht/kapital_kokku)*kupongivõlakirja_tulusus_tähtajani_YTM__Rd</v>
      </c>
    </row>
    <row r="101" spans="1:7" s="12" customFormat="1" ht="15" thickBot="1" x14ac:dyDescent="0.35">
      <c r="D101"/>
      <c r="E101"/>
      <c r="F101"/>
      <c r="G101"/>
    </row>
    <row r="102" spans="1:7" ht="52.2" customHeight="1" x14ac:dyDescent="0.3">
      <c r="A102" s="8" t="s">
        <v>59</v>
      </c>
      <c r="D102" s="70" t="s">
        <v>117</v>
      </c>
      <c r="E102" s="71"/>
      <c r="F102" s="71"/>
      <c r="G102" s="72"/>
    </row>
    <row r="103" spans="1:7" x14ac:dyDescent="0.3">
      <c r="A103" s="8"/>
      <c r="D103" s="73"/>
      <c r="E103" s="74"/>
      <c r="F103" s="74"/>
      <c r="G103" s="75"/>
    </row>
    <row r="104" spans="1:7" x14ac:dyDescent="0.3">
      <c r="A104" s="8"/>
      <c r="D104" s="73"/>
      <c r="E104" s="74"/>
      <c r="F104" s="74"/>
      <c r="G104" s="75"/>
    </row>
    <row r="105" spans="1:7" x14ac:dyDescent="0.3">
      <c r="A105" s="8"/>
      <c r="D105" s="73"/>
      <c r="E105" s="74"/>
      <c r="F105" s="74"/>
      <c r="G105" s="75"/>
    </row>
    <row r="106" spans="1:7" x14ac:dyDescent="0.3">
      <c r="A106" s="8"/>
      <c r="D106" s="73"/>
      <c r="E106" s="74"/>
      <c r="F106" s="74"/>
      <c r="G106" s="75"/>
    </row>
    <row r="107" spans="1:7" ht="15" thickBot="1" x14ac:dyDescent="0.35">
      <c r="A107" s="8"/>
      <c r="D107" s="76"/>
      <c r="E107" s="77"/>
      <c r="F107" s="77"/>
      <c r="G107" s="78"/>
    </row>
    <row r="108" spans="1:7" x14ac:dyDescent="0.3">
      <c r="A108" s="68" t="s">
        <v>101</v>
      </c>
      <c r="B108" s="69"/>
    </row>
    <row r="109" spans="1:7" x14ac:dyDescent="0.3">
      <c r="A109" s="13" t="s">
        <v>60</v>
      </c>
      <c r="B109" s="17">
        <v>200000</v>
      </c>
    </row>
    <row r="110" spans="1:7" x14ac:dyDescent="0.3">
      <c r="A110" s="13" t="s">
        <v>97</v>
      </c>
      <c r="B110" s="13">
        <v>5</v>
      </c>
    </row>
    <row r="111" spans="1:7" x14ac:dyDescent="0.3">
      <c r="A111" s="13" t="s">
        <v>72</v>
      </c>
      <c r="B111" s="17">
        <v>4000000</v>
      </c>
    </row>
    <row r="112" spans="1:7" x14ac:dyDescent="0.3">
      <c r="A112" s="13" t="s">
        <v>61</v>
      </c>
      <c r="B112" s="13">
        <v>2</v>
      </c>
    </row>
    <row r="113" spans="1:5" x14ac:dyDescent="0.3">
      <c r="A113" s="13" t="s">
        <v>62</v>
      </c>
      <c r="B113" s="17">
        <v>500000</v>
      </c>
    </row>
    <row r="114" spans="1:5" x14ac:dyDescent="0.3">
      <c r="A114" s="13" t="s">
        <v>63</v>
      </c>
      <c r="B114" s="13">
        <v>0.75</v>
      </c>
    </row>
    <row r="115" spans="1:5" x14ac:dyDescent="0.3">
      <c r="A115" s="13" t="s">
        <v>64</v>
      </c>
      <c r="B115" s="24">
        <v>0.04</v>
      </c>
    </row>
    <row r="116" spans="1:5" x14ac:dyDescent="0.3">
      <c r="A116" s="13" t="s">
        <v>65</v>
      </c>
      <c r="B116" s="17">
        <v>10000</v>
      </c>
    </row>
    <row r="117" spans="1:5" x14ac:dyDescent="0.3">
      <c r="A117" s="13" t="s">
        <v>66</v>
      </c>
      <c r="B117" s="13">
        <v>1000</v>
      </c>
    </row>
    <row r="118" spans="1:5" x14ac:dyDescent="0.3">
      <c r="A118" s="13" t="s">
        <v>51</v>
      </c>
      <c r="B118" s="13">
        <v>0.06</v>
      </c>
      <c r="E118" s="1"/>
    </row>
    <row r="119" spans="1:5" x14ac:dyDescent="0.3">
      <c r="A119" s="13" t="s">
        <v>110</v>
      </c>
      <c r="B119" s="13">
        <v>5</v>
      </c>
      <c r="E119" s="1"/>
    </row>
    <row r="120" spans="1:5" x14ac:dyDescent="0.3">
      <c r="A120" s="13" t="s">
        <v>100</v>
      </c>
      <c r="B120" s="13">
        <v>0.04</v>
      </c>
      <c r="E120" s="1"/>
    </row>
    <row r="123" spans="1:5" ht="15" thickBot="1" x14ac:dyDescent="0.35"/>
    <row r="124" spans="1:5" x14ac:dyDescent="0.3">
      <c r="A124" s="25" t="s">
        <v>96</v>
      </c>
      <c r="B124" s="26">
        <f>(puhaskasum*dividendi_väljamaksu_tase_kasumist)/aktsiate_emissiooni_maht</f>
        <v>1.875</v>
      </c>
      <c r="C124" t="str">
        <f ca="1">_xlfn.FORMULATEXT(dividendi_suurus)</f>
        <v>=(puhaskasum*dividendi_väljamaksu_tase_kasumist)/aktsiate_emissiooni_maht</v>
      </c>
    </row>
    <row r="125" spans="1:5" x14ac:dyDescent="0.3">
      <c r="A125" s="20" t="s">
        <v>75</v>
      </c>
      <c r="B125" s="27">
        <f>kupongiintressimäär*kupongivõlakirja_nimiväärtus</f>
        <v>60</v>
      </c>
      <c r="C125" t="str">
        <f ca="1">_xlfn.FORMULATEXT(kupongimakse)</f>
        <v>=kupongiintressimäär*kupongivõlakirja_nimiväärtus</v>
      </c>
    </row>
    <row r="126" spans="1:5" x14ac:dyDescent="0.3">
      <c r="A126" s="20" t="s">
        <v>73</v>
      </c>
      <c r="B126" s="27">
        <f>omakapital_bilansi_järgi/aktsiate_emissiooni_maht</f>
        <v>20</v>
      </c>
      <c r="C126" t="str">
        <f ca="1">_xlfn.FORMULATEXT(aktsia_bilansiline_hind)</f>
        <v>=omakapital_bilansi_järgi/aktsiate_emissiooni_maht</v>
      </c>
    </row>
    <row r="127" spans="1:5" x14ac:dyDescent="0.3">
      <c r="A127" s="20" t="s">
        <v>74</v>
      </c>
      <c r="B127" s="27">
        <f>aktsia_bilansiline_hind*P_B</f>
        <v>40</v>
      </c>
      <c r="C127" t="str">
        <f ca="1">_xlfn.FORMULATEXT(aktsia_turuväärtus)</f>
        <v>=aktsia_bilansiline_hind*P_B</v>
      </c>
    </row>
    <row r="128" spans="1:5" x14ac:dyDescent="0.3">
      <c r="A128" s="20" t="s">
        <v>109</v>
      </c>
      <c r="B128" s="27">
        <f>dividendi_suurus*(1+dividendi_kasvumäär)</f>
        <v>1.9500000000000002</v>
      </c>
      <c r="C128" t="str">
        <f ca="1">_xlfn.FORMULATEXT(oodatav__dividend)</f>
        <v>=dividendi_suurus*(1+dividendi_kasvumäär)</v>
      </c>
    </row>
    <row r="129" spans="1:7" x14ac:dyDescent="0.3">
      <c r="A129" s="20" t="s">
        <v>69</v>
      </c>
      <c r="B129" s="28">
        <f>(oodatav__dividend/aktsia_turuväärtus)+dividendi_kasvumäär</f>
        <v>8.8749999999999996E-2</v>
      </c>
      <c r="C129" t="str">
        <f ca="1">_xlfn.FORMULATEXT(omakapitali_hind_Re)</f>
        <v>=(oodatav__dividend/aktsia_turuväärtus)+dividendi_kasvumäär</v>
      </c>
    </row>
    <row r="130" spans="1:7" x14ac:dyDescent="0.3">
      <c r="A130" s="20" t="s">
        <v>70</v>
      </c>
      <c r="B130" s="29">
        <f>kupongivõlakirjade_tootlus_aastas_YTM</f>
        <v>0.04</v>
      </c>
      <c r="C130" t="str">
        <f ca="1">_xlfn.FORMULATEXT(võõrkapitali_hind_Rd)</f>
        <v>=kupongivõlakirjade_tootlus_aastas_YTM</v>
      </c>
    </row>
    <row r="131" spans="1:7" x14ac:dyDescent="0.3">
      <c r="A131" s="20" t="s">
        <v>76</v>
      </c>
      <c r="B131" s="30">
        <f>(kupongimakse/kupongivõlakirjade_tootlus_aastas_YTM)*(1-1/(1+kupongivõlakirjade_tootlus_aastas_YTM)^kupongivõlakirjade_tähtaeg_aastates)+kupongivõlakirja_nimiväärtus/(1+kupongivõlakirjade_tootlus_aastas_YTM)^kupongivõlakirjade_tähtaeg_aastates</f>
        <v>1089.0364466203241</v>
      </c>
      <c r="C131" t="str">
        <f ca="1">_xlfn.FORMULATEXT(võlakirja_väärtus)</f>
        <v>=(kupongimakse/kupongivõlakirjade_tootlus_aastas_YTM)*(1-1/(1+kupongivõlakirjade_tootlus_aastas_YTM)^kupongivõlakirjade_tähtaeg_aastates)+kupongivõlakirja_nimiväärtus/(1+kupongivõlakirjade_tootlus_aastas_YTM)^kupongivõlakirjade_tähtaeg_aastates</v>
      </c>
    </row>
    <row r="132" spans="1:7" x14ac:dyDescent="0.3">
      <c r="A132" s="20" t="s">
        <v>77</v>
      </c>
      <c r="B132" s="30">
        <f>võlakirja_väärtus*kupongivõlakirjade_maht</f>
        <v>10890364.466203241</v>
      </c>
      <c r="C132" t="str">
        <f ca="1">_xlfn.FORMULATEXT(laenukapitali_väärtus__võlakirja_väärtus_x_kogus)</f>
        <v>=võlakirja_väärtus*kupongivõlakirjade_maht</v>
      </c>
    </row>
    <row r="133" spans="1:7" x14ac:dyDescent="0.3">
      <c r="A133" s="20" t="s">
        <v>78</v>
      </c>
      <c r="B133" s="30">
        <f>aktsia_turuväärtus*aktsiate_emissiooni_maht</f>
        <v>8000000</v>
      </c>
      <c r="C133" t="str">
        <f ca="1">_xlfn.FORMULATEXT(omakapitali_väärtus)</f>
        <v>=aktsia_turuväärtus*aktsiate_emissiooni_maht</v>
      </c>
    </row>
    <row r="134" spans="1:7" x14ac:dyDescent="0.3">
      <c r="A134" s="20" t="s">
        <v>71</v>
      </c>
      <c r="B134" s="30">
        <f>omakapitali_väärtus+laenukapitali_väärtus__võlakirja_väärtus_x_kogus</f>
        <v>18890364.466203243</v>
      </c>
      <c r="C134" t="str">
        <f ca="1">_xlfn.FORMULATEXT(kogukapitali_väärtus)</f>
        <v>=omakapitali_väärtus+laenukapitali_väärtus__võlakirja_väärtus_x_kogus</v>
      </c>
    </row>
    <row r="135" spans="1:7" ht="15" thickBot="1" x14ac:dyDescent="0.35">
      <c r="A135" s="22" t="s">
        <v>52</v>
      </c>
      <c r="B135" s="31">
        <f>(laenukapitali_väärtus__võlakirja_väärtus_x_kogus/kogukapitali_väärtus)*võõrkapitali_hind_Rd+(omakapitali_väärtus/kogukapitali_väärtus)*omakapitali_hind_Re</f>
        <v>6.0645446026081129E-2</v>
      </c>
      <c r="C135" t="str">
        <f ca="1">_xlfn.FORMULATEXT(WACC)</f>
        <v>=(laenukapitali_väärtus__võlakirja_väärtus_x_kogus/kogukapitali_väärtus)*võõrkapitali_hind_Rd+(omakapitali_väärtus/kogukapitali_väärtus)*omakapitali_hind_Re</v>
      </c>
    </row>
    <row r="136" spans="1:7" s="12" customFormat="1" ht="15" thickBot="1" x14ac:dyDescent="0.35">
      <c r="D136"/>
      <c r="E136"/>
      <c r="F136"/>
      <c r="G136"/>
    </row>
    <row r="137" spans="1:7" x14ac:dyDescent="0.3">
      <c r="A137" t="s">
        <v>79</v>
      </c>
      <c r="D137" s="42" t="s">
        <v>111</v>
      </c>
      <c r="E137" s="43"/>
      <c r="F137" s="43"/>
      <c r="G137" s="44"/>
    </row>
    <row r="138" spans="1:7" x14ac:dyDescent="0.3">
      <c r="D138" s="45"/>
      <c r="E138" s="46"/>
      <c r="F138" s="46"/>
      <c r="G138" s="47"/>
    </row>
    <row r="139" spans="1:7" x14ac:dyDescent="0.3">
      <c r="D139" s="45"/>
      <c r="E139" s="46"/>
      <c r="F139" s="46"/>
      <c r="G139" s="47"/>
    </row>
    <row r="140" spans="1:7" ht="15" thickBot="1" x14ac:dyDescent="0.35">
      <c r="D140" s="48"/>
      <c r="E140" s="49"/>
      <c r="F140" s="49"/>
      <c r="G140" s="50"/>
    </row>
    <row r="141" spans="1:7" x14ac:dyDescent="0.3">
      <c r="A141" s="66" t="s">
        <v>107</v>
      </c>
      <c r="B141" s="67"/>
    </row>
    <row r="142" spans="1:7" x14ac:dyDescent="0.3">
      <c r="A142" s="20" t="s">
        <v>80</v>
      </c>
      <c r="B142" s="21">
        <v>90000000</v>
      </c>
    </row>
    <row r="143" spans="1:7" x14ac:dyDescent="0.3">
      <c r="A143" s="20" t="s">
        <v>81</v>
      </c>
      <c r="B143" s="21">
        <v>22000000</v>
      </c>
    </row>
    <row r="144" spans="1:7" x14ac:dyDescent="0.3">
      <c r="A144" s="20" t="s">
        <v>82</v>
      </c>
      <c r="B144" s="21">
        <v>68000000</v>
      </c>
    </row>
    <row r="145" spans="1:5" x14ac:dyDescent="0.3">
      <c r="A145" s="20" t="s">
        <v>83</v>
      </c>
      <c r="B145" s="21">
        <v>17000000</v>
      </c>
    </row>
    <row r="146" spans="1:5" ht="15" thickBot="1" x14ac:dyDescent="0.35">
      <c r="A146" s="22" t="s">
        <v>62</v>
      </c>
      <c r="B146" s="23">
        <v>51000000</v>
      </c>
    </row>
    <row r="148" spans="1:5" x14ac:dyDescent="0.3">
      <c r="A148" s="55" t="s">
        <v>101</v>
      </c>
      <c r="B148" s="55"/>
    </row>
    <row r="149" spans="1:5" x14ac:dyDescent="0.3">
      <c r="A149" s="18" t="s">
        <v>108</v>
      </c>
      <c r="B149" s="19">
        <v>5000000</v>
      </c>
      <c r="E149" t="s">
        <v>132</v>
      </c>
    </row>
    <row r="150" spans="1:5" x14ac:dyDescent="0.3">
      <c r="A150" s="13" t="s">
        <v>90</v>
      </c>
      <c r="B150" s="17">
        <f>aktsiaid_emiteeritud*aktsia_turuhind</f>
        <v>612000000</v>
      </c>
      <c r="C150" t="str">
        <f ca="1">_xlfn.FORMULATEXT(omakapital)</f>
        <v>=aktsiaid_emiteeritud*aktsia_turuhind</v>
      </c>
    </row>
    <row r="151" spans="1:5" x14ac:dyDescent="0.3">
      <c r="A151" s="13" t="s">
        <v>84</v>
      </c>
      <c r="B151" s="13">
        <v>12</v>
      </c>
    </row>
    <row r="152" spans="1:5" x14ac:dyDescent="0.3">
      <c r="A152" s="13" t="s">
        <v>85</v>
      </c>
      <c r="B152" s="13">
        <v>0.04</v>
      </c>
    </row>
    <row r="153" spans="1:5" x14ac:dyDescent="0.3">
      <c r="A153" s="13" t="s">
        <v>86</v>
      </c>
      <c r="B153" s="17">
        <v>300000000</v>
      </c>
    </row>
    <row r="154" spans="1:5" x14ac:dyDescent="0.3">
      <c r="A154" s="13" t="s">
        <v>91</v>
      </c>
      <c r="B154" s="17">
        <f>intresse_kandvad_laenud+omakapital</f>
        <v>912000000</v>
      </c>
      <c r="C154" t="str">
        <f ca="1">_xlfn.FORMULATEXT(B154)</f>
        <v>=intresse_kandvad_laenud+omakapital</v>
      </c>
    </row>
    <row r="155" spans="1:5" x14ac:dyDescent="0.3">
      <c r="A155" s="13" t="s">
        <v>88</v>
      </c>
      <c r="B155" s="13">
        <f>puhas_kasum/aktsiaid_emiteeritud</f>
        <v>10.199999999999999</v>
      </c>
      <c r="C155" t="str">
        <f ca="1">_xlfn.FORMULATEXT(kasum_aktsia_kohta)</f>
        <v>=puhas_kasum/aktsiaid_emiteeritud</v>
      </c>
    </row>
    <row r="156" spans="1:5" x14ac:dyDescent="0.3">
      <c r="A156" s="13" t="s">
        <v>67</v>
      </c>
      <c r="B156" s="13">
        <f>aktsia_P_E*kasum_aktsia_kohta</f>
        <v>122.39999999999999</v>
      </c>
      <c r="C156" t="str">
        <f ca="1">_xlfn.FORMULATEXT(aktsia_turuhind)</f>
        <v>=aktsia_P_E*kasum_aktsia_kohta</v>
      </c>
    </row>
    <row r="157" spans="1:5" x14ac:dyDescent="0.3">
      <c r="A157" s="13" t="s">
        <v>106</v>
      </c>
      <c r="B157" s="13">
        <f>kasum_aktsia_kohta</f>
        <v>10.199999999999999</v>
      </c>
      <c r="C157" t="str">
        <f ca="1">_xlfn.FORMULATEXT(B157)</f>
        <v>=kasum_aktsia_kohta</v>
      </c>
    </row>
    <row r="158" spans="1:5" x14ac:dyDescent="0.3">
      <c r="A158" s="13" t="s">
        <v>68</v>
      </c>
      <c r="B158" s="13">
        <f>väljamakstav_dividend*(1+puhaskasumi_kasvuprognoos)</f>
        <v>10.607999999999999</v>
      </c>
      <c r="C158" t="str">
        <f ca="1">_xlfn.FORMULATEXT(B158)</f>
        <v>=väljamakstav_dividend*(1+puhaskasumi_kasvuprognoos)</v>
      </c>
    </row>
    <row r="160" spans="1:5" x14ac:dyDescent="0.3">
      <c r="A160" s="15" t="s">
        <v>87</v>
      </c>
      <c r="B160" s="9">
        <f>(oodatav_dividend/aktsia_turuhind)+puhaskasumi_kasvuprognoos</f>
        <v>0.12666666666666665</v>
      </c>
      <c r="C160" t="str">
        <f ca="1">_xlfn.FORMULATEXT(B160)</f>
        <v>=(oodatav_dividend/aktsia_turuhind)+puhaskasumi_kasvuprognoos</v>
      </c>
    </row>
    <row r="161" spans="1:3" x14ac:dyDescent="0.3">
      <c r="A161" s="15" t="s">
        <v>89</v>
      </c>
      <c r="B161" s="9">
        <f>intressikulud/intresse_kandvad_laenud</f>
        <v>7.3333333333333334E-2</v>
      </c>
      <c r="C161" t="str">
        <f ca="1">_xlfn.FORMULATEXT(ligikaudne_laenude_intressimäär_Rd)</f>
        <v>=intressikulud/intresse_kandvad_laenud</v>
      </c>
    </row>
    <row r="162" spans="1:3" x14ac:dyDescent="0.3">
      <c r="A162" s="15" t="s">
        <v>52</v>
      </c>
      <c r="B162" s="9">
        <f>omakapitalilt_nõutav_tulumäär_Re*(omakapital/kogukapital)+ligikaudne_laenude_intressimäär_Rd*(intresse_kandvad_laenud/kogukapital)</f>
        <v>0.10912280701754386</v>
      </c>
      <c r="C162" t="str">
        <f ca="1">_xlfn.FORMULATEXT(B162)</f>
        <v>=omakapitalilt_nõutav_tulumäär_Re*(omakapital/kogukapital)+ligikaudne_laenude_intressimäär_Rd*(intresse_kandvad_laenud/kogukapital)</v>
      </c>
    </row>
    <row r="163" spans="1:3" x14ac:dyDescent="0.3">
      <c r="A163" s="2" t="s">
        <v>92</v>
      </c>
    </row>
    <row r="164" spans="1:3" x14ac:dyDescent="0.3">
      <c r="A164" s="2" t="s">
        <v>93</v>
      </c>
    </row>
  </sheetData>
  <mergeCells count="16">
    <mergeCell ref="D82:G87"/>
    <mergeCell ref="A148:B148"/>
    <mergeCell ref="A141:B141"/>
    <mergeCell ref="A108:B108"/>
    <mergeCell ref="D137:G140"/>
    <mergeCell ref="D102:G107"/>
    <mergeCell ref="A87:B87"/>
    <mergeCell ref="D91:E91"/>
    <mergeCell ref="D1:G4"/>
    <mergeCell ref="A6:B6"/>
    <mergeCell ref="D56:G60"/>
    <mergeCell ref="A61:B61"/>
    <mergeCell ref="D14:G18"/>
    <mergeCell ref="A18:B18"/>
    <mergeCell ref="D29:G35"/>
    <mergeCell ref="A38:B38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a64f2-343f-4c5c-95c4-82115ee1b8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A166640C2EA842BCCB49D73418B8AA" ma:contentTypeVersion="6" ma:contentTypeDescription="Create a new document." ma:contentTypeScope="" ma:versionID="6c7b5823141d5f50aecfda947f62cb43">
  <xsd:schema xmlns:xsd="http://www.w3.org/2001/XMLSchema" xmlns:xs="http://www.w3.org/2001/XMLSchema" xmlns:p="http://schemas.microsoft.com/office/2006/metadata/properties" xmlns:ns3="08ba64f2-343f-4c5c-95c4-82115ee1b8db" targetNamespace="http://schemas.microsoft.com/office/2006/metadata/properties" ma:root="true" ma:fieldsID="c05ad268ab1b9e2496aa02943423bef6" ns3:_="">
    <xsd:import namespace="08ba64f2-343f-4c5c-95c4-82115ee1b8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a64f2-343f-4c5c-95c4-82115ee1b8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74165B-1A06-4E41-AA34-F0CF25763D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037C58-6F3D-4049-BB44-5A121E5C2A7E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08ba64f2-343f-4c5c-95c4-82115ee1b8d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0C2B6BF-B84E-437D-9D79-6509BE0545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a64f2-343f-4c5c-95c4-82115ee1b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81</vt:i4>
      </vt:variant>
    </vt:vector>
  </HeadingPairs>
  <TitlesOfParts>
    <vt:vector size="82" baseType="lpstr">
      <vt:lpstr>Sheet1</vt:lpstr>
      <vt:lpstr>_10_a._võlakirjade_hind_kup._Intressimääraga_0_05</vt:lpstr>
      <vt:lpstr>AAA_reitinguga_valitsuse_10._aastased_võlakirjade_tootlus_aastas</vt:lpstr>
      <vt:lpstr>aastane_kupongimakse</vt:lpstr>
      <vt:lpstr>aktsia_bilansiline_hind</vt:lpstr>
      <vt:lpstr>aktsia_hind_turul</vt:lpstr>
      <vt:lpstr>aktsia_nim._väärtus</vt:lpstr>
      <vt:lpstr>aktsia_nimiväärtus</vt:lpstr>
      <vt:lpstr>aktsia_P_E</vt:lpstr>
      <vt:lpstr>aktsia_turuhind</vt:lpstr>
      <vt:lpstr>aktsia_turuväärtus</vt:lpstr>
      <vt:lpstr>aktsiaid_emiteeritud</vt:lpstr>
      <vt:lpstr>aktsiate_emissiooni_maht</vt:lpstr>
      <vt:lpstr>aktsiate_emissioonimaht</vt:lpstr>
      <vt:lpstr>beeta</vt:lpstr>
      <vt:lpstr>d.võlakirjade_müügihinna_osakaal_nimiväärtusest</vt:lpstr>
      <vt:lpstr>diskontovõlakirjade_emissiooni_kogusumma</vt:lpstr>
      <vt:lpstr>dividend</vt:lpstr>
      <vt:lpstr>dividendi_kasvumäär</vt:lpstr>
      <vt:lpstr>dividendi_suurus</vt:lpstr>
      <vt:lpstr>dividendi_väljamaksu_tase_kasumist</vt:lpstr>
      <vt:lpstr>dividendide_keskmine_kasvumäär_edaspidiseks</vt:lpstr>
      <vt:lpstr>dividendimäär</vt:lpstr>
      <vt:lpstr>EBIT</vt:lpstr>
      <vt:lpstr>emissiooni_korraldaja_tasu_emissiooni_nimiväärtusest</vt:lpstr>
      <vt:lpstr>ettevõte_saab_kätte</vt:lpstr>
      <vt:lpstr>hind_emissioonikulude_mahaarvestamisel</vt:lpstr>
      <vt:lpstr>intresse_kandvad_laenud</vt:lpstr>
      <vt:lpstr>intressikulud</vt:lpstr>
      <vt:lpstr>kaasatav_omakapital</vt:lpstr>
      <vt:lpstr>kapital_kokku</vt:lpstr>
      <vt:lpstr>kasum_aktsia_kohta</vt:lpstr>
      <vt:lpstr>keskmine_kasvumäär</vt:lpstr>
      <vt:lpstr>kogukapital</vt:lpstr>
      <vt:lpstr>kogukapitali_väärtus</vt:lpstr>
      <vt:lpstr>kupongi_intressimäär</vt:lpstr>
      <vt:lpstr>kupongiintress</vt:lpstr>
      <vt:lpstr>kupongiintressimäär</vt:lpstr>
      <vt:lpstr>kupongimakse</vt:lpstr>
      <vt:lpstr>kupongimaksed_aastas</vt:lpstr>
      <vt:lpstr>kupongivõlakirja_emissiooni_maht</vt:lpstr>
      <vt:lpstr>kupongivõlakirja_nimiväärtus</vt:lpstr>
      <vt:lpstr>kupongivõlakirja_periood_aastates</vt:lpstr>
      <vt:lpstr>kupongivõlakirja_tulusus_tähtajani_YTM__Rd</vt:lpstr>
      <vt:lpstr>kupongivõlakirjade_maht</vt:lpstr>
      <vt:lpstr>kupongivõlakirjade_tootlus_aastas_YTM</vt:lpstr>
      <vt:lpstr>kupongivõlakirjade_tootlus_aastas_YTM_Rd</vt:lpstr>
      <vt:lpstr>kupongivõlakirjade_tähtaeg_aastates</vt:lpstr>
      <vt:lpstr>kupongvõlakirja_müügi_hind_perioodil_t_10</vt:lpstr>
      <vt:lpstr>kupongvõlakirja_nimiväärtus</vt:lpstr>
      <vt:lpstr>kupongvõlakirja_periood_aastates</vt:lpstr>
      <vt:lpstr>kupongvõlakirja_turuhind_praegu</vt:lpstr>
      <vt:lpstr>laenukapitali_väärtus__võlakirja_väärtus_x_kogus</vt:lpstr>
      <vt:lpstr>ligikaudne_laenude_intressimäär_Rd</vt:lpstr>
      <vt:lpstr>makstud_dividend_aktsia_kohta_Div0___eur</vt:lpstr>
      <vt:lpstr>maksustamiseelne_kasum</vt:lpstr>
      <vt:lpstr>müügihind_eelisaktsiate_emissioonil</vt:lpstr>
      <vt:lpstr>omakapital</vt:lpstr>
      <vt:lpstr>omakapital_bilansi_järgi</vt:lpstr>
      <vt:lpstr>omakapitali_hind_Re</vt:lpstr>
      <vt:lpstr>omakapitali_väärtus</vt:lpstr>
      <vt:lpstr>omakapitalilt_nõutav_tulumäär_Re</vt:lpstr>
      <vt:lpstr>oodatav__dividend</vt:lpstr>
      <vt:lpstr>oodatav_dividend</vt:lpstr>
      <vt:lpstr>oodatav_dividend_Div1</vt:lpstr>
      <vt:lpstr>P_B</vt:lpstr>
      <vt:lpstr>puhas_kasum</vt:lpstr>
      <vt:lpstr>puhaskasum</vt:lpstr>
      <vt:lpstr>puhaskasumi_kasvuprognoos</vt:lpstr>
      <vt:lpstr>tasu</vt:lpstr>
      <vt:lpstr>tasu_investeerimispangale</vt:lpstr>
      <vt:lpstr>tm_kasumilt</vt:lpstr>
      <vt:lpstr>tulumaks_dividendidelt</vt:lpstr>
      <vt:lpstr>turu_keskmine_tulumäär_Re</vt:lpstr>
      <vt:lpstr>uute_kupongvõlakirjade_periood_aastates</vt:lpstr>
      <vt:lpstr>WACC</vt:lpstr>
      <vt:lpstr>võlakirja_tähtaeg_aastates</vt:lpstr>
      <vt:lpstr>võlakirja_väärtus</vt:lpstr>
      <vt:lpstr>võlakirjade_müügihind_investoritele</vt:lpstr>
      <vt:lpstr>võõrkapitali_hind_Rd</vt:lpstr>
      <vt:lpstr>väljamakstav_dividend</vt:lpstr>
      <vt:lpstr>ytm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2025-12-20T09:59:21Z</dcterms:created>
  <dcterms:modified xsi:type="dcterms:W3CDTF">2026-07-17T11:55:46Z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0x01010005A166640C2EA842BCCB49D73418B8AA</vt:lpwstr>
  </property>
</Properties>
</file>